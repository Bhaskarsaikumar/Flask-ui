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Racing Data\Collected Reports\"/>
    </mc:Choice>
  </mc:AlternateContent>
  <xr:revisionPtr revIDLastSave="0" documentId="13_ncr:1_{11660E0B-4DCD-45F6-8D80-853F48F5B768}" xr6:coauthVersionLast="45" xr6:coauthVersionMax="45" xr10:uidLastSave="{00000000-0000-0000-0000-000000000000}"/>
  <bookViews>
    <workbookView showVerticalScroll="0" xWindow="-108" yWindow="-108" windowWidth="23256" windowHeight="12576" tabRatio="714" firstSheet="1" activeTab="1" xr2:uid="{00000000-000D-0000-FFFF-FFFF00000000}"/>
  </bookViews>
  <sheets>
    <sheet name="Cheltenham 12.30" sheetId="1" r:id="rId1"/>
    <sheet name="lingfield (AW)125" sheetId="2" r:id="rId2"/>
    <sheet name="Wetherby 2.23" sheetId="3" r:id="rId3"/>
  </sheets>
  <functionGroups builtInGroupCount="19"/>
  <calcPr calcId="191029"/>
</workbook>
</file>

<file path=xl/calcChain.xml><?xml version="1.0" encoding="utf-8"?>
<calcChain xmlns="http://schemas.openxmlformats.org/spreadsheetml/2006/main">
  <c r="Z12" i="3" l="1"/>
  <c r="X12" i="3"/>
  <c r="AA12" i="3" s="1"/>
  <c r="U12" i="3"/>
  <c r="V12" i="3" s="1"/>
  <c r="S12" i="3"/>
  <c r="P12" i="3"/>
  <c r="Q12" i="3" s="1"/>
  <c r="N12" i="3"/>
  <c r="J12" i="3"/>
  <c r="K12" i="3" s="1"/>
  <c r="F12" i="3"/>
  <c r="E12" i="3"/>
  <c r="G12" i="3" s="1"/>
  <c r="Z11" i="3"/>
  <c r="X11" i="3"/>
  <c r="AA11" i="3" s="1"/>
  <c r="U11" i="3"/>
  <c r="S11" i="3"/>
  <c r="V11" i="3" s="1"/>
  <c r="P11" i="3"/>
  <c r="Q11" i="3" s="1"/>
  <c r="N11" i="3"/>
  <c r="J11" i="3"/>
  <c r="F11" i="3"/>
  <c r="E11" i="3"/>
  <c r="Z10" i="3"/>
  <c r="X10" i="3"/>
  <c r="AA10" i="3" s="1"/>
  <c r="V10" i="3"/>
  <c r="U10" i="3"/>
  <c r="S10" i="3"/>
  <c r="P10" i="3"/>
  <c r="Q10" i="3" s="1"/>
  <c r="N10" i="3"/>
  <c r="J10" i="3"/>
  <c r="K10" i="3" s="1"/>
  <c r="F10" i="3"/>
  <c r="E10" i="3"/>
  <c r="Z9" i="3"/>
  <c r="X9" i="3"/>
  <c r="AA9" i="3" s="1"/>
  <c r="V9" i="3"/>
  <c r="U9" i="3"/>
  <c r="S9" i="3"/>
  <c r="P9" i="3"/>
  <c r="Q9" i="3" s="1"/>
  <c r="N9" i="3"/>
  <c r="J9" i="3"/>
  <c r="K9" i="3" s="1"/>
  <c r="F9" i="3"/>
  <c r="E9" i="3"/>
  <c r="G10" i="3" s="1"/>
  <c r="L10" i="3" s="1"/>
  <c r="Z8" i="3"/>
  <c r="X8" i="3"/>
  <c r="AA8" i="3" s="1"/>
  <c r="U8" i="3"/>
  <c r="S8" i="3"/>
  <c r="V8" i="3" s="1"/>
  <c r="P8" i="3"/>
  <c r="Q8" i="3" s="1"/>
  <c r="N8" i="3"/>
  <c r="K8" i="3"/>
  <c r="J8" i="3"/>
  <c r="K11" i="3" s="1"/>
  <c r="F8" i="3"/>
  <c r="E8" i="3"/>
  <c r="I4" i="3"/>
  <c r="Z9" i="2"/>
  <c r="X9" i="2"/>
  <c r="U9" i="2"/>
  <c r="S9" i="2"/>
  <c r="P9" i="2"/>
  <c r="N9" i="2"/>
  <c r="J9" i="2"/>
  <c r="F9" i="2"/>
  <c r="E9" i="2"/>
  <c r="Z13" i="2"/>
  <c r="X13" i="2"/>
  <c r="U13" i="2"/>
  <c r="S13" i="2"/>
  <c r="P13" i="2"/>
  <c r="N13" i="2"/>
  <c r="J13" i="2"/>
  <c r="F13" i="2"/>
  <c r="E13" i="2"/>
  <c r="Z11" i="2"/>
  <c r="X11" i="2"/>
  <c r="U11" i="2"/>
  <c r="S11" i="2"/>
  <c r="P11" i="2"/>
  <c r="N11" i="2"/>
  <c r="J11" i="2"/>
  <c r="F11" i="2"/>
  <c r="E11" i="2"/>
  <c r="Z14" i="2"/>
  <c r="X14" i="2"/>
  <c r="U14" i="2"/>
  <c r="S14" i="2"/>
  <c r="P14" i="2"/>
  <c r="N14" i="2"/>
  <c r="J14" i="2"/>
  <c r="F14" i="2"/>
  <c r="E14" i="2"/>
  <c r="Z10" i="2"/>
  <c r="X10" i="2"/>
  <c r="U10" i="2"/>
  <c r="S10" i="2"/>
  <c r="P10" i="2"/>
  <c r="N10" i="2"/>
  <c r="J10" i="2"/>
  <c r="F10" i="2"/>
  <c r="E10" i="2"/>
  <c r="Z12" i="2"/>
  <c r="X12" i="2"/>
  <c r="U12" i="2"/>
  <c r="S12" i="2"/>
  <c r="P12" i="2"/>
  <c r="N12" i="2"/>
  <c r="J12" i="2"/>
  <c r="F12" i="2"/>
  <c r="E12" i="2"/>
  <c r="Z8" i="2"/>
  <c r="X8" i="2"/>
  <c r="U8" i="2"/>
  <c r="S8" i="2"/>
  <c r="P8" i="2"/>
  <c r="N8" i="2"/>
  <c r="J8" i="2"/>
  <c r="F8" i="2"/>
  <c r="E8" i="2"/>
  <c r="I4" i="2"/>
  <c r="Z19" i="1"/>
  <c r="X19" i="1"/>
  <c r="AA19" i="1" s="1"/>
  <c r="U19" i="1"/>
  <c r="S19" i="1"/>
  <c r="V19" i="1" s="1"/>
  <c r="Q19" i="1"/>
  <c r="P19" i="1"/>
  <c r="N19" i="1"/>
  <c r="J19" i="1"/>
  <c r="K19" i="1" s="1"/>
  <c r="F19" i="1"/>
  <c r="E19" i="1"/>
  <c r="G19" i="1" s="1"/>
  <c r="AA18" i="1"/>
  <c r="Z18" i="1"/>
  <c r="X18" i="1"/>
  <c r="U18" i="1"/>
  <c r="S18" i="1"/>
  <c r="V18" i="1" s="1"/>
  <c r="P18" i="1"/>
  <c r="Q18" i="1" s="1"/>
  <c r="N18" i="1"/>
  <c r="J18" i="1"/>
  <c r="F18" i="1"/>
  <c r="E18" i="1"/>
  <c r="Z17" i="1"/>
  <c r="AA17" i="1" s="1"/>
  <c r="X17" i="1"/>
  <c r="U17" i="1"/>
  <c r="V17" i="1" s="1"/>
  <c r="S17" i="1"/>
  <c r="P17" i="1"/>
  <c r="Q17" i="1" s="1"/>
  <c r="N17" i="1"/>
  <c r="J17" i="1"/>
  <c r="K17" i="1" s="1"/>
  <c r="F17" i="1"/>
  <c r="E17" i="1"/>
  <c r="Z16" i="1"/>
  <c r="X16" i="1"/>
  <c r="AA16" i="1" s="1"/>
  <c r="V16" i="1"/>
  <c r="U16" i="1"/>
  <c r="S16" i="1"/>
  <c r="Q16" i="1"/>
  <c r="P16" i="1"/>
  <c r="N16" i="1"/>
  <c r="J16" i="1"/>
  <c r="K16" i="1" s="1"/>
  <c r="F16" i="1"/>
  <c r="E16" i="1"/>
  <c r="G16" i="1" s="1"/>
  <c r="L16" i="1" s="1"/>
  <c r="AB16" i="1" s="1"/>
  <c r="Z15" i="1"/>
  <c r="X15" i="1"/>
  <c r="AA15" i="1" s="1"/>
  <c r="U15" i="1"/>
  <c r="S15" i="1"/>
  <c r="V15" i="1" s="1"/>
  <c r="P15" i="1"/>
  <c r="Q15" i="1" s="1"/>
  <c r="N15" i="1"/>
  <c r="J15" i="1"/>
  <c r="F15" i="1"/>
  <c r="E15" i="1"/>
  <c r="G15" i="1" s="1"/>
  <c r="Z14" i="1"/>
  <c r="AA14" i="1" s="1"/>
  <c r="X14" i="1"/>
  <c r="U14" i="1"/>
  <c r="S14" i="1"/>
  <c r="V14" i="1" s="1"/>
  <c r="P14" i="1"/>
  <c r="N14" i="1"/>
  <c r="Q14" i="1" s="1"/>
  <c r="J14" i="1"/>
  <c r="K14" i="1" s="1"/>
  <c r="F14" i="1"/>
  <c r="E14" i="1"/>
  <c r="AA13" i="1"/>
  <c r="Z13" i="1"/>
  <c r="X13" i="1"/>
  <c r="V13" i="1"/>
  <c r="U13" i="1"/>
  <c r="S13" i="1"/>
  <c r="P13" i="1"/>
  <c r="Q13" i="1" s="1"/>
  <c r="N13" i="1"/>
  <c r="J13" i="1"/>
  <c r="K13" i="1" s="1"/>
  <c r="F13" i="1"/>
  <c r="E13" i="1"/>
  <c r="Z12" i="1"/>
  <c r="X12" i="1"/>
  <c r="AA12" i="1" s="1"/>
  <c r="U12" i="1"/>
  <c r="V12" i="1" s="1"/>
  <c r="S12" i="1"/>
  <c r="P12" i="1"/>
  <c r="Q12" i="1" s="1"/>
  <c r="N12" i="1"/>
  <c r="J12" i="1"/>
  <c r="F12" i="1"/>
  <c r="E12" i="1"/>
  <c r="G12" i="1" s="1"/>
  <c r="Z11" i="1"/>
  <c r="X11" i="1"/>
  <c r="AA11" i="1" s="1"/>
  <c r="U11" i="1"/>
  <c r="S11" i="1"/>
  <c r="V11" i="1" s="1"/>
  <c r="Q11" i="1"/>
  <c r="P11" i="1"/>
  <c r="N11" i="1"/>
  <c r="J11" i="1"/>
  <c r="K11" i="1" s="1"/>
  <c r="F11" i="1"/>
  <c r="E11" i="1"/>
  <c r="G11" i="1" s="1"/>
  <c r="L11" i="1" s="1"/>
  <c r="AB11" i="1" s="1"/>
  <c r="AA10" i="1"/>
  <c r="Z10" i="1"/>
  <c r="X10" i="1"/>
  <c r="U10" i="1"/>
  <c r="S10" i="1"/>
  <c r="V10" i="1" s="1"/>
  <c r="P10" i="1"/>
  <c r="Q10" i="1" s="1"/>
  <c r="N10" i="1"/>
  <c r="J10" i="1"/>
  <c r="F10" i="1"/>
  <c r="E10" i="1"/>
  <c r="Z9" i="1"/>
  <c r="AA9" i="1" s="1"/>
  <c r="X9" i="1"/>
  <c r="U9" i="1"/>
  <c r="V9" i="1" s="1"/>
  <c r="S9" i="1"/>
  <c r="P9" i="1"/>
  <c r="Q9" i="1" s="1"/>
  <c r="N9" i="1"/>
  <c r="J9" i="1"/>
  <c r="K9" i="1" s="1"/>
  <c r="F9" i="1"/>
  <c r="E9" i="1"/>
  <c r="Z8" i="1"/>
  <c r="X8" i="1"/>
  <c r="AA8" i="1" s="1"/>
  <c r="V8" i="1"/>
  <c r="U8" i="1"/>
  <c r="S8" i="1"/>
  <c r="Q8" i="1"/>
  <c r="P8" i="1"/>
  <c r="N8" i="1"/>
  <c r="J8" i="1"/>
  <c r="K12" i="1" s="1"/>
  <c r="F8" i="1"/>
  <c r="E8" i="1"/>
  <c r="G8" i="1" s="1"/>
  <c r="I4" i="1"/>
  <c r="V14" i="2" l="1"/>
  <c r="V13" i="2"/>
  <c r="Q9" i="2"/>
  <c r="V9" i="2"/>
  <c r="Q12" i="2"/>
  <c r="G11" i="2"/>
  <c r="G12" i="2"/>
  <c r="Q13" i="2"/>
  <c r="K12" i="2"/>
  <c r="G14" i="2"/>
  <c r="Q8" i="2"/>
  <c r="V8" i="2"/>
  <c r="V10" i="2"/>
  <c r="Q14" i="2"/>
  <c r="K10" i="2"/>
  <c r="G10" i="2"/>
  <c r="Q11" i="2"/>
  <c r="K9" i="2"/>
  <c r="K14" i="2"/>
  <c r="V11" i="2"/>
  <c r="K11" i="2"/>
  <c r="G9" i="2"/>
  <c r="V12" i="2"/>
  <c r="Q10" i="2"/>
  <c r="AA8" i="2"/>
  <c r="AA11" i="2"/>
  <c r="AA10" i="2"/>
  <c r="AA9" i="2"/>
  <c r="AA14" i="2"/>
  <c r="AA13" i="2"/>
  <c r="AA12" i="2"/>
  <c r="AB10" i="3"/>
  <c r="AC10" i="3" s="1"/>
  <c r="L19" i="1"/>
  <c r="AB19" i="1" s="1"/>
  <c r="L12" i="1"/>
  <c r="AB12" i="1" s="1"/>
  <c r="L12" i="3"/>
  <c r="AB12" i="3" s="1"/>
  <c r="AC12" i="3" s="1"/>
  <c r="G11" i="3"/>
  <c r="L11" i="3" s="1"/>
  <c r="AB11" i="3" s="1"/>
  <c r="AC11" i="3" s="1"/>
  <c r="G13" i="2"/>
  <c r="K8" i="1"/>
  <c r="L8" i="1" s="1"/>
  <c r="AB8" i="1" s="1"/>
  <c r="G10" i="1"/>
  <c r="K10" i="1"/>
  <c r="K18" i="1"/>
  <c r="K13" i="2"/>
  <c r="G9" i="1"/>
  <c r="L9" i="1" s="1"/>
  <c r="AB9" i="1" s="1"/>
  <c r="K15" i="1"/>
  <c r="L15" i="1" s="1"/>
  <c r="AB15" i="1" s="1"/>
  <c r="G17" i="1"/>
  <c r="L17" i="1" s="1"/>
  <c r="AB17" i="1" s="1"/>
  <c r="G18" i="1"/>
  <c r="G13" i="1"/>
  <c r="L13" i="1" s="1"/>
  <c r="AB13" i="1" s="1"/>
  <c r="G8" i="2"/>
  <c r="G14" i="1"/>
  <c r="L14" i="1" s="1"/>
  <c r="AB14" i="1" s="1"/>
  <c r="K8" i="2"/>
  <c r="G8" i="3"/>
  <c r="L8" i="3" s="1"/>
  <c r="AB8" i="3" s="1"/>
  <c r="AC8" i="3" s="1"/>
  <c r="G9" i="3"/>
  <c r="L9" i="3" s="1"/>
  <c r="AB9" i="3" s="1"/>
  <c r="AC9" i="3" s="1"/>
  <c r="L11" i="2" l="1"/>
  <c r="AB11" i="2" s="1"/>
  <c r="L10" i="2"/>
  <c r="AB10" i="2" s="1"/>
  <c r="L12" i="2"/>
  <c r="AB12" i="2" s="1"/>
  <c r="L9" i="2"/>
  <c r="AB9" i="2" s="1"/>
  <c r="L14" i="2"/>
  <c r="AB14" i="2" s="1"/>
  <c r="L8" i="2"/>
  <c r="AB8" i="2" s="1"/>
  <c r="L18" i="1"/>
  <c r="AB18" i="1" s="1"/>
  <c r="AC18" i="1" s="1"/>
  <c r="L10" i="1"/>
  <c r="AB10" i="1" s="1"/>
  <c r="AC13" i="1" s="1"/>
  <c r="L13" i="2"/>
  <c r="AB13" i="2" s="1"/>
  <c r="AC13" i="2" l="1"/>
  <c r="AC12" i="2"/>
  <c r="AC14" i="2"/>
  <c r="AC9" i="2"/>
  <c r="AC10" i="2"/>
  <c r="AC11" i="2"/>
  <c r="AC8" i="2"/>
  <c r="AC10" i="1"/>
  <c r="AC15" i="1"/>
  <c r="AC11" i="1"/>
  <c r="AC17" i="1"/>
  <c r="AC12" i="1"/>
  <c r="AC19" i="1"/>
  <c r="AC16" i="1"/>
  <c r="AC9" i="1"/>
  <c r="AC14" i="1"/>
  <c r="AC8" i="1"/>
</calcChain>
</file>

<file path=xl/sharedStrings.xml><?xml version="1.0" encoding="utf-8"?>
<sst xmlns="http://schemas.openxmlformats.org/spreadsheetml/2006/main" count="187" uniqueCount="89">
  <si>
    <t>DISTANCE</t>
  </si>
  <si>
    <t>2m½f</t>
  </si>
  <si>
    <t>GOING</t>
  </si>
  <si>
    <t>Good To Soft</t>
  </si>
  <si>
    <t>PRIZE</t>
  </si>
  <si>
    <t>£14,807</t>
  </si>
  <si>
    <t>Runners</t>
  </si>
  <si>
    <t>8 (MAX 20)</t>
  </si>
  <si>
    <t>WEIGHTS</t>
  </si>
  <si>
    <t>https://www.racingpost.com/racecards/36/newbury/2020-11-05/768210/at-a-glance</t>
  </si>
  <si>
    <t>.</t>
  </si>
  <si>
    <t>Result1</t>
  </si>
  <si>
    <t>Result2</t>
  </si>
  <si>
    <t>Result3</t>
  </si>
  <si>
    <t>Result4</t>
  </si>
  <si>
    <t>Final</t>
  </si>
  <si>
    <t>Name</t>
  </si>
  <si>
    <t>Runs</t>
  </si>
  <si>
    <t>Wins</t>
  </si>
  <si>
    <t>Places</t>
  </si>
  <si>
    <t>Wins/Run</t>
  </si>
  <si>
    <t>Place/Run</t>
  </si>
  <si>
    <t>rank1</t>
  </si>
  <si>
    <t>total win ££</t>
  </si>
  <si>
    <t>tot. place ££</t>
  </si>
  <si>
    <t>ave ££/run</t>
  </si>
  <si>
    <t>rank2</t>
  </si>
  <si>
    <t>Class</t>
  </si>
  <si>
    <t>last 3 ££</t>
  </si>
  <si>
    <t>rank3</t>
  </si>
  <si>
    <t>last 3 pos</t>
  </si>
  <si>
    <t>rank4</t>
  </si>
  <si>
    <t>recent form</t>
  </si>
  <si>
    <t>Tspeed</t>
  </si>
  <si>
    <t>rank5</t>
  </si>
  <si>
    <t>RPR</t>
  </si>
  <si>
    <t>rank6</t>
  </si>
  <si>
    <t>Mark</t>
  </si>
  <si>
    <t>trip</t>
  </si>
  <si>
    <t>rank7</t>
  </si>
  <si>
    <t>going</t>
  </si>
  <si>
    <t>rank8</t>
  </si>
  <si>
    <t>Result</t>
  </si>
  <si>
    <t>Rating</t>
  </si>
  <si>
    <t>rank9</t>
  </si>
  <si>
    <t>Price</t>
  </si>
  <si>
    <t>Dutch</t>
  </si>
  <si>
    <t>P+L</t>
  </si>
  <si>
    <t>Duffle Coat</t>
  </si>
  <si>
    <t>Hell Red</t>
  </si>
  <si>
    <t>Adagio</t>
  </si>
  <si>
    <t>Overpriced Mixer</t>
  </si>
  <si>
    <t>Historic Heart</t>
  </si>
  <si>
    <t>Shentri</t>
  </si>
  <si>
    <t>Cabot Cliffs</t>
  </si>
  <si>
    <t>Pyramid Place</t>
  </si>
  <si>
    <t>Hudson De Grugy</t>
  </si>
  <si>
    <t>Balko Saint </t>
  </si>
  <si>
    <t>Jersey Grey</t>
  </si>
  <si>
    <t>Billy The Squid</t>
  </si>
  <si>
    <t xml:space="preserve">
        1m    </t>
  </si>
  <si>
    <t>Standard</t>
  </si>
  <si>
    <t>£2,782</t>
  </si>
  <si>
    <t>7(MAX12)</t>
  </si>
  <si>
    <t>https://www.racingpost.com/racecards/393/lingfield-aw/2020-11-21/769605/at-a-glance</t>
  </si>
  <si>
    <t>Rishworthian</t>
  </si>
  <si>
    <t>10</t>
  </si>
  <si>
    <t>2</t>
  </si>
  <si>
    <t>£3680</t>
  </si>
  <si>
    <t>Cliffcake</t>
  </si>
  <si>
    <t>6</t>
  </si>
  <si>
    <t>1</t>
  </si>
  <si>
    <t>£915</t>
  </si>
  <si>
    <t>CubanFox</t>
  </si>
  <si>
    <t>9</t>
  </si>
  <si>
    <t>0</t>
  </si>
  <si>
    <t>£1427</t>
  </si>
  <si>
    <t>Aljomaana</t>
  </si>
  <si>
    <t>£300</t>
  </si>
  <si>
    <t>CleverTrucker</t>
  </si>
  <si>
    <t>3</t>
  </si>
  <si>
    <t>GinjaSpice</t>
  </si>
  <si>
    <t>SophieB</t>
  </si>
  <si>
    <t>7</t>
  </si>
  <si>
    <t>£1460</t>
  </si>
  <si>
    <t>2m</t>
  </si>
  <si>
    <t>Soft</t>
  </si>
  <si>
    <t>£12,996</t>
  </si>
  <si>
    <t>5 (MAX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</si>
</sst>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</font>
    <font>
      <u/>
      <sz val="11"/>
      <color theme="0"/>
      <name val="Calibri"/>
      <family val="2"/>
      <scheme val="minor"/>
    </font>
    <font>
      <sz val="9"/>
      <color rgb="FF171717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171717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46">
    <xf numFmtId="0" fontId="0" fillId="0" borderId="0" xfId="0"/>
    <xf numFmtId="9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164" fontId="2" fillId="0" borderId="0" xfId="0" applyNumberFormat="1" applyFont="1" applyAlignment="1">
      <alignment vertical="center"/>
    </xf>
    <xf numFmtId="9" fontId="3" fillId="0" borderId="0" xfId="0" applyNumberFormat="1" applyFont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1" fillId="4" borderId="0" xfId="0" applyNumberFormat="1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3" fontId="2" fillId="3" borderId="0" xfId="0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" fontId="2" fillId="0" borderId="0" xfId="0" applyNumberFormat="1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/>
    </xf>
    <xf numFmtId="0" fontId="4" fillId="0" borderId="0" xfId="1" applyAlignment="1">
      <alignment horizontal="left" vertical="center"/>
    </xf>
    <xf numFmtId="0" fontId="5" fillId="0" borderId="0" xfId="0" applyFont="1" applyAlignment="1">
      <alignment vertical="center"/>
    </xf>
    <xf numFmtId="9" fontId="4" fillId="0" borderId="0" xfId="1" applyNumberForma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0" borderId="0" xfId="1" applyFont="1"/>
    <xf numFmtId="0" fontId="0" fillId="0" borderId="0" xfId="0" applyAlignment="1">
      <alignment wrapText="1"/>
    </xf>
    <xf numFmtId="0" fontId="2" fillId="0" borderId="0" xfId="0" applyFont="1"/>
    <xf numFmtId="3" fontId="7" fillId="0" borderId="0" xfId="0" applyNumberFormat="1" applyFont="1"/>
    <xf numFmtId="3" fontId="2" fillId="0" borderId="0" xfId="0" applyNumberFormat="1" applyFont="1" applyAlignment="1">
      <alignment vertical="center"/>
    </xf>
    <xf numFmtId="0" fontId="9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8" fillId="0" borderId="0" xfId="0" applyFont="1"/>
    <xf numFmtId="0" fontId="2" fillId="0" borderId="0" xfId="0" applyFont="1" applyAlignment="1">
      <alignment horizontal="left"/>
    </xf>
    <xf numFmtId="3" fontId="2" fillId="5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08"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0066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3" formatCode="0%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3" formatCode="0%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center" vertical="bottom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  <scheme val="minor"/>
      </font>
      <alignment horizontal="center" vertical="center"/>
    </dxf>
    <dxf>
      <fill>
        <patternFill>
          <bgColor rgb="FF66FF66"/>
        </patternFill>
      </fill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0066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3" formatCode="0%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3" formatCode="0%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center" vertical="bottom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  <scheme val="minor"/>
      </font>
      <alignment horizontal="center" vertical="center"/>
    </dxf>
    <dxf>
      <fill>
        <patternFill>
          <bgColor rgb="FF66FF66"/>
        </patternFill>
      </fill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0066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" formatCode="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rgb="FFFFFF0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&quot;£&quot;#,##0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3" formatCode="0%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3" formatCode="0%"/>
      <fill>
        <patternFill>
          <fgColor indexed="64"/>
          <bgColor indexed="65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fill>
        <patternFill>
          <fgColor indexed="64"/>
          <bgColor indexed="65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center" vertical="bottom"/>
    </dxf>
    <dxf>
      <font>
        <strike val="0"/>
        <outline val="0"/>
        <shadow val="0"/>
        <vertAlign val="baseline"/>
        <sz val="11"/>
        <name val="Calibri"/>
      </font>
      <alignment vertical="center"/>
    </dxf>
    <dxf>
      <font>
        <strike val="0"/>
        <outline val="0"/>
        <shadow val="0"/>
        <vertAlign val="baseline"/>
        <sz val="11"/>
        <name val="Calibri"/>
        <scheme val="minor"/>
      </font>
      <alignment horizontal="center" vertical="center"/>
    </dxf>
    <dxf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190500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C6E311E7-FD96-4753-94EC-6B64901C1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190500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FD013C6F-8190-4E57-85CB-D3E89B609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190500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6D79B1D6-73CC-47F8-9E6C-5E90BD78F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190500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C2A32930-8ACE-421C-8D95-508CAF8B9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190500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5CC5B804-4573-4083-9589-85A4E98E3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190500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9B854A70-CB3B-4C23-AA24-C8C73F9FE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190500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33532189-84C4-46FB-A8E6-7E001BEDE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190500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A38F0F1C-7CCB-4CE0-B1F1-DE911559A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190500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6274FE78-922F-436F-B0A5-20AB5D5D5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190500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BA31EB9C-A051-46D4-B340-9DEEFEC52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83820</xdr:rowOff>
        </xdr:from>
        <xdr:to>
          <xdr:col>12</xdr:col>
          <xdr:colOff>579120</xdr:colOff>
          <xdr:row>2</xdr:row>
          <xdr:rowOff>99060</xdr:rowOff>
        </xdr:to>
        <xdr:sp macro="" textlink="">
          <xdr:nvSpPr>
            <xdr:cNvPr id="91147" name="Botón 13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15FF53A0-F515-4E45-BCA5-5AF839C74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Tidy 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190500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87B1738D-0634-4B66-8EA8-728D91191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190500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86C51CC7-653A-4FC3-AE53-150BFCB86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190500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9C4E06DD-EA6B-454E-82D4-1B0079B85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190500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184A6D81-4B46-4E67-B7F2-823A03146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190500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93189" name="Button 5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85307B46-15AD-47D0-9CAA-952EE6AD0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190500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93190" name="Button 6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ED98341E-4018-4C0A-AA64-EC055C68D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190500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93191" name="Button 7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E712BF70-E9A9-422C-B3E5-881BC9E4C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190500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3192" name="Button 8" hidden="1">
              <a:extLst>
                <a:ext uri="{63B3BB69-23CF-44E3-9099-C40C66FF867C}">
                  <a14:compatExt spid="_x0000_s93192"/>
                </a:ext>
                <a:ext uri="{FF2B5EF4-FFF2-40B4-BE49-F238E27FC236}">
                  <a16:creationId xmlns:a16="http://schemas.microsoft.com/office/drawing/2014/main" id="{366FFC52-2EE2-48F1-9E66-AA3C60319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190500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93193" name="Button 9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2733CF94-2E5F-43DC-AA05-5EB1BE7D5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190500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93194" name="Button 10" hidden="1">
              <a:extLst>
                <a:ext uri="{63B3BB69-23CF-44E3-9099-C40C66FF867C}">
                  <a14:compatExt spid="_x0000_s93194"/>
                </a:ext>
                <a:ext uri="{FF2B5EF4-FFF2-40B4-BE49-F238E27FC236}">
                  <a16:creationId xmlns:a16="http://schemas.microsoft.com/office/drawing/2014/main" id="{DAF032E7-03AD-4162-8B77-8363FEC07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83820</xdr:rowOff>
        </xdr:from>
        <xdr:to>
          <xdr:col>12</xdr:col>
          <xdr:colOff>579120</xdr:colOff>
          <xdr:row>2</xdr:row>
          <xdr:rowOff>99060</xdr:rowOff>
        </xdr:to>
        <xdr:sp macro="" textlink="">
          <xdr:nvSpPr>
            <xdr:cNvPr id="93195" name="Botón 13" hidden="1">
              <a:extLst>
                <a:ext uri="{63B3BB69-23CF-44E3-9099-C40C66FF867C}">
                  <a14:compatExt spid="_x0000_s93195"/>
                </a:ext>
                <a:ext uri="{FF2B5EF4-FFF2-40B4-BE49-F238E27FC236}">
                  <a16:creationId xmlns:a16="http://schemas.microsoft.com/office/drawing/2014/main" id="{08FBCDBB-E468-4387-AB9F-8999F1F14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Tidy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190500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26454710-E910-448D-8683-B023D9409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190500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1DD25689-A150-4926-859F-C5CF5DED7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190500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6E534DFE-7801-4197-BC34-4215E3A91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190500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D48BD73C-5637-4BC0-BE15-34E38A149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190500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524D7C05-B69F-4846-AF1A-4535FAE3A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190500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C4E1F1F-00B0-414C-825B-826F65B06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190500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96263" name="Button 7" hidden="1">
              <a:extLst>
                <a:ext uri="{63B3BB69-23CF-44E3-9099-C40C66FF867C}">
                  <a14:compatExt spid="_x0000_s96263"/>
                </a:ext>
                <a:ext uri="{FF2B5EF4-FFF2-40B4-BE49-F238E27FC236}">
                  <a16:creationId xmlns:a16="http://schemas.microsoft.com/office/drawing/2014/main" id="{AD13C0D2-2111-4881-B121-43C857A14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190500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6264" name="Button 8" hidden="1">
              <a:extLst>
                <a:ext uri="{63B3BB69-23CF-44E3-9099-C40C66FF867C}">
                  <a14:compatExt spid="_x0000_s96264"/>
                </a:ext>
                <a:ext uri="{FF2B5EF4-FFF2-40B4-BE49-F238E27FC236}">
                  <a16:creationId xmlns:a16="http://schemas.microsoft.com/office/drawing/2014/main" id="{7FA62074-8A80-4A4C-84F3-C6E07A11D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190500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96265" name="Button 9" hidden="1">
              <a:extLst>
                <a:ext uri="{63B3BB69-23CF-44E3-9099-C40C66FF867C}">
                  <a14:compatExt spid="_x0000_s96265"/>
                </a:ext>
                <a:ext uri="{FF2B5EF4-FFF2-40B4-BE49-F238E27FC236}">
                  <a16:creationId xmlns:a16="http://schemas.microsoft.com/office/drawing/2014/main" id="{25B62046-74A3-462F-93BC-D9ABA60EE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190500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96266" name="Button 10" hidden="1">
              <a:extLst>
                <a:ext uri="{63B3BB69-23CF-44E3-9099-C40C66FF867C}">
                  <a14:compatExt spid="_x0000_s96266"/>
                </a:ext>
                <a:ext uri="{FF2B5EF4-FFF2-40B4-BE49-F238E27FC236}">
                  <a16:creationId xmlns:a16="http://schemas.microsoft.com/office/drawing/2014/main" id="{E1066FAC-A34E-459A-8D2C-118E0E417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83820</xdr:rowOff>
        </xdr:from>
        <xdr:to>
          <xdr:col>12</xdr:col>
          <xdr:colOff>579120</xdr:colOff>
          <xdr:row>2</xdr:row>
          <xdr:rowOff>99060</xdr:rowOff>
        </xdr:to>
        <xdr:sp macro="" textlink="">
          <xdr:nvSpPr>
            <xdr:cNvPr id="96267" name="Botón 13" hidden="1">
              <a:extLst>
                <a:ext uri="{63B3BB69-23CF-44E3-9099-C40C66FF867C}">
                  <a14:compatExt spid="_x0000_s96267"/>
                </a:ext>
                <a:ext uri="{FF2B5EF4-FFF2-40B4-BE49-F238E27FC236}">
                  <a16:creationId xmlns:a16="http://schemas.microsoft.com/office/drawing/2014/main" id="{C114CEC9-D259-4817-9AA6-CD7136EF8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Tidy 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rses3658924235672372345823245678234523423" displayName="Horses3658924235672372345823245678234523423" ref="A7:AG19" totalsRowShown="0" headerRowDxfId="106" dataDxfId="105">
  <autoFilter ref="A7:AG1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sortState xmlns:xlrd2="http://schemas.microsoft.com/office/spreadsheetml/2017/richdata2" ref="A8:AG19">
    <sortCondition descending="1" ref="AB7"/>
  </sortState>
  <tableColumns count="33">
    <tableColumn id="1" xr3:uid="{00000000-0010-0000-0000-000001000000}" name="Name" dataDxfId="104"/>
    <tableColumn id="2" xr3:uid="{00000000-0010-0000-0000-000002000000}" name="Runs" dataDxfId="103"/>
    <tableColumn id="3" xr3:uid="{00000000-0010-0000-0000-000003000000}" name="Wins" dataDxfId="102"/>
    <tableColumn id="4" xr3:uid="{00000000-0010-0000-0000-000004000000}" name="Places" dataDxfId="101"/>
    <tableColumn id="5" xr3:uid="{00000000-0010-0000-0000-000005000000}" name="Wins/Run" dataDxfId="100">
      <calculatedColumnFormula>IF(Horses3658924235672372345823245678234523423[[#This Row],[Runs]]=0,0,Horses3658924235672372345823245678234523423[[#This Row],[Wins]]/Horses3658924235672372345823245678234523423[[#This Row],[Runs]])</calculatedColumnFormula>
    </tableColumn>
    <tableColumn id="29" xr3:uid="{00000000-0010-0000-0000-00001D000000}" name="Place/Run" dataDxfId="99">
      <calculatedColumnFormula>IF(Horses3658924235672372345823245678234523423[[#This Row],[Runs]]=0,0,Horses3658924235672372345823245678234523423[[#This Row],[Places]]/Horses3658924235672372345823245678234523423[[#This Row],[Runs]])</calculatedColumnFormula>
    </tableColumn>
    <tableColumn id="6" xr3:uid="{00000000-0010-0000-0000-000006000000}" name="rank1" dataDxfId="98">
      <calculatedColumnFormula>_xlfn.RANK.EQ(Horses3658924235672372345823245678234523423[[#This Row],[Wins/Run]],Horses3658924235672372345823245678234523423[Wins/Run],0)</calculatedColumnFormula>
    </tableColumn>
    <tableColumn id="7" xr3:uid="{00000000-0010-0000-0000-000007000000}" name="total win ££" dataDxfId="97"/>
    <tableColumn id="30" xr3:uid="{00000000-0010-0000-0000-00001E000000}" name="tot. place ££" dataDxfId="96"/>
    <tableColumn id="8" xr3:uid="{00000000-0010-0000-0000-000008000000}" name="ave ££/run" dataDxfId="95">
      <calculatedColumnFormula>IF(Horses3658924235672372345823245678234523423[[#This Row],[Runs]]=0,0,SUM(Horses3658924235672372345823245678234523423[[#This Row],[total win ££]]/Horses3658924235672372345823245678234523423[[#This Row],[Runs]]))</calculatedColumnFormula>
    </tableColumn>
    <tableColumn id="9" xr3:uid="{00000000-0010-0000-0000-000009000000}" name="rank2" dataDxfId="94">
      <calculatedColumnFormula>_xlfn.RANK.EQ(Horses3658924235672372345823245678234523423[[#This Row],[ave ££/run]],Horses3658924235672372345823245678234523423[ave ££/run],0)</calculatedColumnFormula>
    </tableColumn>
    <tableColumn id="10" xr3:uid="{00000000-0010-0000-0000-00000A000000}" name="Class" dataDxfId="93">
      <calculatedColumnFormula>(G8*K8*(-1))+10*COUNTA(Horses3658924235672372345823245678234523423[Name])</calculatedColumnFormula>
    </tableColumn>
    <tableColumn id="11" xr3:uid="{00000000-0010-0000-0000-00000B000000}" name="last 3 ££" dataDxfId="92"/>
    <tableColumn id="12" xr3:uid="{00000000-0010-0000-0000-00000C000000}" name="rank3" dataDxfId="91">
      <calculatedColumnFormula>_xlfn.RANK.EQ(Horses3658924235672372345823245678234523423[[#This Row],[last 3 ££]],Horses3658924235672372345823245678234523423[last 3 ££],0)</calculatedColumnFormula>
    </tableColumn>
    <tableColumn id="14" xr3:uid="{00000000-0010-0000-0000-00000E000000}" name="last 3 pos" dataDxfId="90"/>
    <tableColumn id="15" xr3:uid="{00000000-0010-0000-0000-00000F000000}" name="rank4" dataDxfId="89">
      <calculatedColumnFormula>_xlfn.RANK.EQ(Horses3658924235672372345823245678234523423[[#This Row],[last 3 pos]],Horses3658924235672372345823245678234523423[last 3 pos],1)</calculatedColumnFormula>
    </tableColumn>
    <tableColumn id="13" xr3:uid="{00000000-0010-0000-0000-00000D000000}" name="recent form" dataDxfId="88">
      <calculatedColumnFormula>(P8*N8*(-1))+10*COUNTA(Horses3658924235672372345823245678234523423[Name])</calculatedColumnFormula>
    </tableColumn>
    <tableColumn id="16" xr3:uid="{00000000-0010-0000-0000-000010000000}" name="Tspeed" dataDxfId="87"/>
    <tableColumn id="17" xr3:uid="{00000000-0010-0000-0000-000011000000}" name="rank5" dataDxfId="86">
      <calculatedColumnFormula>_xlfn.RANK.EQ(Horses3658924235672372345823245678234523423[[#This Row],[Tspeed]],Horses3658924235672372345823245678234523423[Tspeed],0)</calculatedColumnFormula>
    </tableColumn>
    <tableColumn id="18" xr3:uid="{00000000-0010-0000-0000-000012000000}" name="RPR" dataDxfId="85"/>
    <tableColumn id="19" xr3:uid="{00000000-0010-0000-0000-000013000000}" name="rank6" dataDxfId="84">
      <calculatedColumnFormula>_xlfn.RANK.EQ(Horses3658924235672372345823245678234523423[[#This Row],[RPR]],Horses3658924235672372345823245678234523423[RPR],0)</calculatedColumnFormula>
    </tableColumn>
    <tableColumn id="20" xr3:uid="{00000000-0010-0000-0000-000014000000}" name="Mark" dataDxfId="83">
      <calculatedColumnFormula>(S8*U8*(-1))+10*COUNTA(Horses3658924235672372345823245678234523423[Name])</calculatedColumnFormula>
    </tableColumn>
    <tableColumn id="21" xr3:uid="{00000000-0010-0000-0000-000015000000}" name="trip" dataDxfId="82"/>
    <tableColumn id="22" xr3:uid="{00000000-0010-0000-0000-000016000000}" name="rank7" dataDxfId="81">
      <calculatedColumnFormula>_xlfn.RANK.EQ(Horses3658924235672372345823245678234523423[[#This Row],[trip]],Horses3658924235672372345823245678234523423[trip],0)</calculatedColumnFormula>
    </tableColumn>
    <tableColumn id="23" xr3:uid="{00000000-0010-0000-0000-000017000000}" name="going" dataDxfId="80"/>
    <tableColumn id="24" xr3:uid="{00000000-0010-0000-0000-000018000000}" name="rank8" dataDxfId="79">
      <calculatedColumnFormula>_xlfn.RANK.EQ(Horses3658924235672372345823245678234523423[[#This Row],[going]],Horses3658924235672372345823245678234523423[going],0)</calculatedColumnFormula>
    </tableColumn>
    <tableColumn id="25" xr3:uid="{00000000-0010-0000-0000-000019000000}" name="Result" dataDxfId="78">
      <calculatedColumnFormula>(X8*Z8*(-1))+10*COUNTA(Horses3658924235672372345823245678234523423[Name])</calculatedColumnFormula>
    </tableColumn>
    <tableColumn id="26" xr3:uid="{00000000-0010-0000-0000-00001A000000}" name="Rating" dataDxfId="77">
      <calculatedColumnFormula>SUM(L8*$L$4)+(Q8*$Q$4)+(V8*$V$4)+(AA8*$AA$4)</calculatedColumnFormula>
    </tableColumn>
    <tableColumn id="27" xr3:uid="{00000000-0010-0000-0000-00001B000000}" name="rank9" dataDxfId="76">
      <calculatedColumnFormula>_xlfn.RANK.EQ(Horses3658924235672372345823245678234523423[[#This Row],[Rating]],Horses3658924235672372345823245678234523423[Rating],0)</calculatedColumnFormula>
    </tableColumn>
    <tableColumn id="28" xr3:uid="{00000000-0010-0000-0000-00001C000000}" name="Price" dataDxfId="75"/>
    <tableColumn id="31" xr3:uid="{00000000-0010-0000-0000-00001F000000}" name="Dutch" dataDxfId="74"/>
    <tableColumn id="32" xr3:uid="{00000000-0010-0000-0000-000020000000}" name="Result2" dataDxfId="73"/>
    <tableColumn id="33" xr3:uid="{00000000-0010-0000-0000-000021000000}" name="P+L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Horses3658924235672372345823245678234523425" displayName="Horses3658924235672372345823245678234523425" ref="A7:AG24" totalsRowShown="0" headerRowDxfId="70" dataDxfId="69">
  <autoFilter ref="A7:AG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sortState xmlns:xlrd2="http://schemas.microsoft.com/office/spreadsheetml/2017/richdata2" ref="A8:AG24">
    <sortCondition descending="1" ref="Q7"/>
  </sortState>
  <tableColumns count="33">
    <tableColumn id="1" xr3:uid="{00000000-0010-0000-0100-000001000000}" name="Name" dataDxfId="68"/>
    <tableColumn id="2" xr3:uid="{00000000-0010-0000-0100-000002000000}" name="Runs" dataDxfId="67"/>
    <tableColumn id="3" xr3:uid="{00000000-0010-0000-0100-000003000000}" name="Wins" dataDxfId="66"/>
    <tableColumn id="4" xr3:uid="{00000000-0010-0000-0100-000004000000}" name="Places" dataDxfId="65"/>
    <tableColumn id="5" xr3:uid="{00000000-0010-0000-0100-000005000000}" name="Wins/Run" dataDxfId="64">
      <calculatedColumnFormula>IF(Horses3658924235672372345823245678234523425[[#This Row],[Runs]]=0,0,Horses3658924235672372345823245678234523425[[#This Row],[Wins]]/Horses3658924235672372345823245678234523425[[#This Row],[Runs]])</calculatedColumnFormula>
    </tableColumn>
    <tableColumn id="29" xr3:uid="{00000000-0010-0000-0100-00001D000000}" name="Place/Run" dataDxfId="63">
      <calculatedColumnFormula>IF(Horses3658924235672372345823245678234523425[[#This Row],[Runs]]=0,0,Horses3658924235672372345823245678234523425[[#This Row],[Places]]/Horses3658924235672372345823245678234523425[[#This Row],[Runs]])</calculatedColumnFormula>
    </tableColumn>
    <tableColumn id="6" xr3:uid="{00000000-0010-0000-0100-000006000000}" name="rank1" dataDxfId="62">
      <calculatedColumnFormula>_xlfn.RANK.EQ(Horses3658924235672372345823245678234523425[[#This Row],[Wins/Run]],Horses3658924235672372345823245678234523425[Wins/Run],0)</calculatedColumnFormula>
    </tableColumn>
    <tableColumn id="7" xr3:uid="{00000000-0010-0000-0100-000007000000}" name="total win ££" dataDxfId="61"/>
    <tableColumn id="30" xr3:uid="{00000000-0010-0000-0100-00001E000000}" name="tot. place ££" dataDxfId="60"/>
    <tableColumn id="8" xr3:uid="{00000000-0010-0000-0100-000008000000}" name="ave ££/run" dataDxfId="59">
      <calculatedColumnFormula>IF(Horses3658924235672372345823245678234523425[[#This Row],[Runs]]=0,0,SUM(Horses3658924235672372345823245678234523425[[#This Row],[total win ££]]/Horses3658924235672372345823245678234523425[[#This Row],[Runs]]))</calculatedColumnFormula>
    </tableColumn>
    <tableColumn id="9" xr3:uid="{00000000-0010-0000-0100-000009000000}" name="rank2" dataDxfId="58">
      <calculatedColumnFormula>_xlfn.RANK.EQ(Horses3658924235672372345823245678234523425[[#This Row],[ave ££/run]],Horses3658924235672372345823245678234523425[ave ££/run],0)</calculatedColumnFormula>
    </tableColumn>
    <tableColumn id="10" xr3:uid="{00000000-0010-0000-0100-00000A000000}" name="Class" dataDxfId="57">
      <calculatedColumnFormula>(G8*K8*(-1))+10*COUNTA(Horses3658924235672372345823245678234523425[Name])</calculatedColumnFormula>
    </tableColumn>
    <tableColumn id="11" xr3:uid="{00000000-0010-0000-0100-00000B000000}" name="last 3 ££" dataDxfId="56"/>
    <tableColumn id="12" xr3:uid="{00000000-0010-0000-0100-00000C000000}" name="rank3" dataDxfId="55">
      <calculatedColumnFormula>_xlfn.RANK.EQ(Horses3658924235672372345823245678234523425[[#This Row],[last 3 ££]],Horses3658924235672372345823245678234523425[last 3 ££],0)</calculatedColumnFormula>
    </tableColumn>
    <tableColumn id="14" xr3:uid="{00000000-0010-0000-0100-00000E000000}" name="last 3 pos" dataDxfId="54"/>
    <tableColumn id="15" xr3:uid="{00000000-0010-0000-0100-00000F000000}" name="rank4" dataDxfId="53">
      <calculatedColumnFormula>_xlfn.RANK.EQ(Horses3658924235672372345823245678234523425[[#This Row],[last 3 pos]],Horses3658924235672372345823245678234523425[last 3 pos],1)</calculatedColumnFormula>
    </tableColumn>
    <tableColumn id="13" xr3:uid="{00000000-0010-0000-0100-00000D000000}" name="recent form" dataDxfId="52">
      <calculatedColumnFormula>(P8*N8*(-1))+10*COUNTA(Horses3658924235672372345823245678234523425[Name])</calculatedColumnFormula>
    </tableColumn>
    <tableColumn id="16" xr3:uid="{00000000-0010-0000-0100-000010000000}" name="Tspeed" dataDxfId="51"/>
    <tableColumn id="17" xr3:uid="{00000000-0010-0000-0100-000011000000}" name="rank5" dataDxfId="50">
      <calculatedColumnFormula>_xlfn.RANK.EQ(Horses3658924235672372345823245678234523425[[#This Row],[Tspeed]],Horses3658924235672372345823245678234523425[Tspeed],0)</calculatedColumnFormula>
    </tableColumn>
    <tableColumn id="18" xr3:uid="{00000000-0010-0000-0100-000012000000}" name="RPR" dataDxfId="49"/>
    <tableColumn id="19" xr3:uid="{00000000-0010-0000-0100-000013000000}" name="rank6" dataDxfId="48">
      <calculatedColumnFormula>_xlfn.RANK.EQ(Horses3658924235672372345823245678234523425[[#This Row],[RPR]],Horses3658924235672372345823245678234523425[RPR],0)</calculatedColumnFormula>
    </tableColumn>
    <tableColumn id="20" xr3:uid="{00000000-0010-0000-0100-000014000000}" name="Mark" dataDxfId="47">
      <calculatedColumnFormula>(S8*U8*(-1))+10*COUNTA(Horses3658924235672372345823245678234523425[Name])</calculatedColumnFormula>
    </tableColumn>
    <tableColumn id="21" xr3:uid="{00000000-0010-0000-0100-000015000000}" name="trip" dataDxfId="46"/>
    <tableColumn id="22" xr3:uid="{00000000-0010-0000-0100-000016000000}" name="rank7" dataDxfId="45">
      <calculatedColumnFormula>_xlfn.RANK.EQ(Horses3658924235672372345823245678234523425[[#This Row],[trip]],Horses3658924235672372345823245678234523425[trip],0)</calculatedColumnFormula>
    </tableColumn>
    <tableColumn id="23" xr3:uid="{00000000-0010-0000-0100-000017000000}" name="going" dataDxfId="44"/>
    <tableColumn id="24" xr3:uid="{00000000-0010-0000-0100-000018000000}" name="rank8" dataDxfId="43">
      <calculatedColumnFormula>_xlfn.RANK.EQ(Horses3658924235672372345823245678234523425[[#This Row],[going]],Horses3658924235672372345823245678234523425[going],0)</calculatedColumnFormula>
    </tableColumn>
    <tableColumn id="25" xr3:uid="{00000000-0010-0000-0100-000019000000}" name="Result" dataDxfId="42">
      <calculatedColumnFormula>(X8*Z8*(-1))+10*COUNTA(Horses3658924235672372345823245678234523425[Name])</calculatedColumnFormula>
    </tableColumn>
    <tableColumn id="26" xr3:uid="{00000000-0010-0000-0100-00001A000000}" name="Rating" dataDxfId="41">
      <calculatedColumnFormula>SUM(L8*$L$4)+(Q8*$Q$4)+(V8*$V$4)+(AA8*$AA$4)</calculatedColumnFormula>
    </tableColumn>
    <tableColumn id="27" xr3:uid="{00000000-0010-0000-0100-00001B000000}" name="rank9" dataDxfId="40">
      <calculatedColumnFormula>_xlfn.RANK.EQ(Horses3658924235672372345823245678234523425[[#This Row],[Rating]],Horses3658924235672372345823245678234523425[Rating],0)</calculatedColumnFormula>
    </tableColumn>
    <tableColumn id="28" xr3:uid="{00000000-0010-0000-0100-00001C000000}" name="Price" dataDxfId="39"/>
    <tableColumn id="31" xr3:uid="{00000000-0010-0000-0100-00001F000000}" name="Dutch" dataDxfId="38"/>
    <tableColumn id="32" xr3:uid="{00000000-0010-0000-0100-000020000000}" name="Result2" dataDxfId="37"/>
    <tableColumn id="33" xr3:uid="{00000000-0010-0000-0100-000021000000}" name="P+L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Horses3658924235672372345823245678234523428" displayName="Horses3658924235672372345823245678234523428" ref="A7:AG12" totalsRowShown="0" headerRowDxfId="34" dataDxfId="33">
  <autoFilter ref="A7:AG12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sortState xmlns:xlrd2="http://schemas.microsoft.com/office/spreadsheetml/2017/richdata2" ref="A8:AG12">
    <sortCondition descending="1" ref="AB7"/>
  </sortState>
  <tableColumns count="33">
    <tableColumn id="1" xr3:uid="{00000000-0010-0000-0200-000001000000}" name="Name" dataDxfId="32"/>
    <tableColumn id="2" xr3:uid="{00000000-0010-0000-0200-000002000000}" name="Runs" dataDxfId="31"/>
    <tableColumn id="3" xr3:uid="{00000000-0010-0000-0200-000003000000}" name="Wins" dataDxfId="30"/>
    <tableColumn id="4" xr3:uid="{00000000-0010-0000-0200-000004000000}" name="Places" dataDxfId="29"/>
    <tableColumn id="5" xr3:uid="{00000000-0010-0000-0200-000005000000}" name="Wins/Run" dataDxfId="28">
      <calculatedColumnFormula>IF(Horses3658924235672372345823245678234523428[[#This Row],[Runs]]=0,0,Horses3658924235672372345823245678234523428[[#This Row],[Wins]]/Horses3658924235672372345823245678234523428[[#This Row],[Runs]])</calculatedColumnFormula>
    </tableColumn>
    <tableColumn id="29" xr3:uid="{00000000-0010-0000-0200-00001D000000}" name="Place/Run" dataDxfId="27">
      <calculatedColumnFormula>IF(Horses3658924235672372345823245678234523428[[#This Row],[Runs]]=0,0,Horses3658924235672372345823245678234523428[[#This Row],[Places]]/Horses3658924235672372345823245678234523428[[#This Row],[Runs]])</calculatedColumnFormula>
    </tableColumn>
    <tableColumn id="6" xr3:uid="{00000000-0010-0000-0200-000006000000}" name="rank1" dataDxfId="26">
      <calculatedColumnFormula>_xlfn.RANK.EQ(Horses3658924235672372345823245678234523428[[#This Row],[Wins/Run]],Horses3658924235672372345823245678234523428[Wins/Run],0)</calculatedColumnFormula>
    </tableColumn>
    <tableColumn id="7" xr3:uid="{00000000-0010-0000-0200-000007000000}" name="total win ££" dataDxfId="25"/>
    <tableColumn id="30" xr3:uid="{00000000-0010-0000-0200-00001E000000}" name="tot. place ££" dataDxfId="24"/>
    <tableColumn id="8" xr3:uid="{00000000-0010-0000-0200-000008000000}" name="ave ££/run" dataDxfId="23">
      <calculatedColumnFormula>IF(Horses3658924235672372345823245678234523428[[#This Row],[Runs]]=0,0,SUM(Horses3658924235672372345823245678234523428[[#This Row],[total win ££]]/Horses3658924235672372345823245678234523428[[#This Row],[Runs]]))</calculatedColumnFormula>
    </tableColumn>
    <tableColumn id="9" xr3:uid="{00000000-0010-0000-0200-000009000000}" name="rank2" dataDxfId="22">
      <calculatedColumnFormula>_xlfn.RANK.EQ(Horses3658924235672372345823245678234523428[[#This Row],[ave ££/run]],Horses3658924235672372345823245678234523428[ave ££/run],0)</calculatedColumnFormula>
    </tableColumn>
    <tableColumn id="10" xr3:uid="{00000000-0010-0000-0200-00000A000000}" name="Class" dataDxfId="21">
      <calculatedColumnFormula>(G8*K8*(-1))+10*COUNTA(Horses3658924235672372345823245678234523428[Name])</calculatedColumnFormula>
    </tableColumn>
    <tableColumn id="11" xr3:uid="{00000000-0010-0000-0200-00000B000000}" name="last 3 ££" dataDxfId="20"/>
    <tableColumn id="12" xr3:uid="{00000000-0010-0000-0200-00000C000000}" name="rank3" dataDxfId="19">
      <calculatedColumnFormula>_xlfn.RANK.EQ(Horses3658924235672372345823245678234523428[[#This Row],[last 3 ££]],Horses3658924235672372345823245678234523428[last 3 ££],0)</calculatedColumnFormula>
    </tableColumn>
    <tableColumn id="14" xr3:uid="{00000000-0010-0000-0200-00000E000000}" name="last 3 pos" dataDxfId="18"/>
    <tableColumn id="15" xr3:uid="{00000000-0010-0000-0200-00000F000000}" name="rank4" dataDxfId="17">
      <calculatedColumnFormula>_xlfn.RANK.EQ(Horses3658924235672372345823245678234523428[[#This Row],[last 3 pos]],Horses3658924235672372345823245678234523428[last 3 pos],1)</calculatedColumnFormula>
    </tableColumn>
    <tableColumn id="13" xr3:uid="{00000000-0010-0000-0200-00000D000000}" name="recent form" dataDxfId="16">
      <calculatedColumnFormula>(P8*N8*(-1))+10*COUNTA(Horses3658924235672372345823245678234523428[Name])</calculatedColumnFormula>
    </tableColumn>
    <tableColumn id="16" xr3:uid="{00000000-0010-0000-0200-000010000000}" name="Tspeed" dataDxfId="15"/>
    <tableColumn id="17" xr3:uid="{00000000-0010-0000-0200-000011000000}" name="rank5" dataDxfId="14">
      <calculatedColumnFormula>_xlfn.RANK.EQ(Horses3658924235672372345823245678234523428[[#This Row],[Tspeed]],Horses3658924235672372345823245678234523428[Tspeed],0)</calculatedColumnFormula>
    </tableColumn>
    <tableColumn id="18" xr3:uid="{00000000-0010-0000-0200-000012000000}" name="RPR" dataDxfId="13"/>
    <tableColumn id="19" xr3:uid="{00000000-0010-0000-0200-000013000000}" name="rank6" dataDxfId="12">
      <calculatedColumnFormula>_xlfn.RANK.EQ(Horses3658924235672372345823245678234523428[[#This Row],[RPR]],Horses3658924235672372345823245678234523428[RPR],0)</calculatedColumnFormula>
    </tableColumn>
    <tableColumn id="20" xr3:uid="{00000000-0010-0000-0200-000014000000}" name="Mark" dataDxfId="11">
      <calculatedColumnFormula>(S8*U8*(-1))+10*COUNTA(Horses3658924235672372345823245678234523428[Name])</calculatedColumnFormula>
    </tableColumn>
    <tableColumn id="21" xr3:uid="{00000000-0010-0000-0200-000015000000}" name="trip" dataDxfId="10"/>
    <tableColumn id="22" xr3:uid="{00000000-0010-0000-0200-000016000000}" name="rank7" dataDxfId="9">
      <calculatedColumnFormula>_xlfn.RANK.EQ(Horses3658924235672372345823245678234523428[[#This Row],[trip]],Horses3658924235672372345823245678234523428[trip],0)</calculatedColumnFormula>
    </tableColumn>
    <tableColumn id="23" xr3:uid="{00000000-0010-0000-0200-000017000000}" name="going" dataDxfId="8"/>
    <tableColumn id="24" xr3:uid="{00000000-0010-0000-0200-000018000000}" name="rank8" dataDxfId="7">
      <calculatedColumnFormula>_xlfn.RANK.EQ(Horses3658924235672372345823245678234523428[[#This Row],[going]],Horses3658924235672372345823245678234523428[going],0)</calculatedColumnFormula>
    </tableColumn>
    <tableColumn id="25" xr3:uid="{00000000-0010-0000-0200-000019000000}" name="Result" dataDxfId="6">
      <calculatedColumnFormula>(X8*Z8*(-1))+10*COUNTA(Horses3658924235672372345823245678234523428[Name])</calculatedColumnFormula>
    </tableColumn>
    <tableColumn id="26" xr3:uid="{00000000-0010-0000-0200-00001A000000}" name="Rating" dataDxfId="5">
      <calculatedColumnFormula>SUM(L8*$L$4)+(Q8*$Q$4)+(V8*$V$4)+(AA8*$AA$4)</calculatedColumnFormula>
    </tableColumn>
    <tableColumn id="27" xr3:uid="{00000000-0010-0000-0200-00001B000000}" name="rank9" dataDxfId="4">
      <calculatedColumnFormula>_xlfn.RANK.EQ(Horses3658924235672372345823245678234523428[[#This Row],[Rating]],Horses3658924235672372345823245678234523428[Rating],0)</calculatedColumnFormula>
    </tableColumn>
    <tableColumn id="28" xr3:uid="{00000000-0010-0000-0200-00001C000000}" name="Price" dataDxfId="3"/>
    <tableColumn id="31" xr3:uid="{00000000-0010-0000-0200-00001F000000}" name="Dutch" dataDxfId="2"/>
    <tableColumn id="32" xr3:uid="{00000000-0010-0000-0200-000020000000}" name="Result2" dataDxfId="1"/>
    <tableColumn id="33" xr3:uid="{00000000-0010-0000-0200-000021000000}" name="P+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3"/>
  <dimension ref="A1:AG19"/>
  <sheetViews>
    <sheetView zoomScaleNormal="100" workbookViewId="0">
      <pane xSplit="1" topLeftCell="C1" activePane="topRight" state="frozen"/>
      <selection activeCell="O20" sqref="O20"/>
      <selection pane="topRight" activeCell="D9" sqref="D9"/>
    </sheetView>
  </sheetViews>
  <sheetFormatPr defaultColWidth="10" defaultRowHeight="14.4" x14ac:dyDescent="0.3"/>
  <cols>
    <col min="1" max="1" width="23.5546875" style="41" customWidth="1"/>
    <col min="2" max="2" width="13.44140625" style="4" customWidth="1"/>
    <col min="3" max="3" width="7.5546875" style="4" customWidth="1"/>
    <col min="4" max="4" width="12.109375" style="4" customWidth="1"/>
    <col min="5" max="5" width="11.44140625" style="4" bestFit="1" customWidth="1"/>
    <col min="6" max="6" width="8.44140625" style="4" customWidth="1"/>
    <col min="7" max="7" width="8.6640625" style="16" bestFit="1" customWidth="1"/>
    <col min="8" max="10" width="10" style="4" customWidth="1"/>
    <col min="11" max="11" width="8.109375" style="16" bestFit="1" customWidth="1"/>
    <col min="12" max="12" width="10" style="4" customWidth="1"/>
    <col min="13" max="13" width="8.44140625" style="4" customWidth="1"/>
    <col min="14" max="14" width="7.5546875" style="16" customWidth="1"/>
    <col min="15" max="15" width="8.44140625" style="17" customWidth="1"/>
    <col min="16" max="16" width="7.5546875" style="4" customWidth="1"/>
    <col min="17" max="17" width="10.109375" style="4" customWidth="1"/>
    <col min="18" max="18" width="8.44140625" style="4" customWidth="1"/>
    <col min="19" max="19" width="8.88671875" style="4" bestFit="1" customWidth="1"/>
    <col min="20" max="20" width="8.44140625" style="4" customWidth="1"/>
    <col min="21" max="21" width="7.5546875" style="4" customWidth="1"/>
    <col min="22" max="22" width="10" style="4" customWidth="1"/>
    <col min="23" max="23" width="8.44140625" style="18" customWidth="1"/>
    <col min="24" max="24" width="7.5546875" style="18" customWidth="1"/>
    <col min="25" max="25" width="8.44140625" style="18" customWidth="1"/>
    <col min="26" max="26" width="7.5546875" style="4" customWidth="1"/>
    <col min="27" max="27" width="10" style="4" customWidth="1"/>
    <col min="28" max="28" width="10" style="41" customWidth="1"/>
    <col min="29" max="29" width="7.5546875" style="4" customWidth="1"/>
    <col min="30" max="30" width="10" style="4" customWidth="1"/>
    <col min="31" max="16384" width="10" style="4"/>
  </cols>
  <sheetData>
    <row r="1" spans="1:33" x14ac:dyDescent="0.25">
      <c r="A1" s="30" t="s">
        <v>0</v>
      </c>
      <c r="B1" s="36" t="s">
        <v>1</v>
      </c>
      <c r="C1" s="30"/>
      <c r="D1" s="23"/>
      <c r="E1" s="1"/>
      <c r="F1" s="1"/>
      <c r="G1" s="2"/>
      <c r="H1" s="40"/>
      <c r="I1" s="40"/>
      <c r="J1" s="40"/>
      <c r="K1" s="3"/>
      <c r="L1" s="42"/>
      <c r="M1" s="41"/>
      <c r="O1" s="41"/>
      <c r="Q1" s="41"/>
      <c r="R1" s="41"/>
      <c r="S1" s="41"/>
      <c r="T1" s="41"/>
      <c r="U1" s="41"/>
      <c r="V1" s="42"/>
      <c r="W1" s="42"/>
      <c r="X1" s="42"/>
      <c r="Y1" s="42"/>
      <c r="Z1" s="42"/>
      <c r="AA1" s="41"/>
      <c r="AB1" s="4"/>
      <c r="AC1" s="5"/>
    </row>
    <row r="2" spans="1:33" x14ac:dyDescent="0.3">
      <c r="A2" s="30" t="s">
        <v>2</v>
      </c>
      <c r="B2" s="30" t="s">
        <v>3</v>
      </c>
      <c r="C2" s="24"/>
      <c r="D2" s="24"/>
      <c r="E2" s="1"/>
      <c r="F2" s="1"/>
      <c r="G2" s="40"/>
      <c r="H2" s="40"/>
      <c r="I2" s="40"/>
      <c r="J2" s="6"/>
      <c r="K2" s="6"/>
      <c r="L2" s="22"/>
      <c r="N2" s="4"/>
      <c r="O2" s="4"/>
      <c r="S2" s="41"/>
      <c r="T2" s="41"/>
      <c r="U2" s="41"/>
      <c r="V2" s="42"/>
      <c r="W2" s="42"/>
      <c r="X2" s="42"/>
      <c r="Y2" s="42"/>
      <c r="Z2" s="42"/>
      <c r="AA2" s="41"/>
      <c r="AB2" s="4"/>
      <c r="AC2" s="5"/>
    </row>
    <row r="3" spans="1:33" x14ac:dyDescent="0.3">
      <c r="A3" s="30" t="s">
        <v>4</v>
      </c>
      <c r="B3" s="2" t="s">
        <v>5</v>
      </c>
      <c r="C3" s="30"/>
      <c r="D3" s="30"/>
      <c r="E3" s="1"/>
      <c r="F3" s="1"/>
      <c r="G3" s="40"/>
      <c r="H3" s="40"/>
      <c r="I3" s="40"/>
      <c r="J3" s="40"/>
      <c r="K3" s="3"/>
      <c r="L3" s="42"/>
      <c r="M3" s="41"/>
      <c r="N3" s="3"/>
      <c r="O3" s="41"/>
      <c r="P3" s="41"/>
      <c r="Q3" s="41"/>
      <c r="R3" s="41"/>
      <c r="S3" s="41"/>
      <c r="T3" s="41"/>
      <c r="U3" s="41"/>
      <c r="V3" s="42"/>
      <c r="W3" s="42"/>
      <c r="X3" s="42"/>
      <c r="Y3" s="42"/>
      <c r="Z3" s="42"/>
      <c r="AA3" s="41"/>
      <c r="AB3" s="4"/>
      <c r="AC3" s="5"/>
    </row>
    <row r="4" spans="1:33" x14ac:dyDescent="0.3">
      <c r="A4" s="30" t="s">
        <v>6</v>
      </c>
      <c r="B4" s="21" t="s">
        <v>7</v>
      </c>
      <c r="C4" s="30"/>
      <c r="D4" s="30"/>
      <c r="E4" s="7"/>
      <c r="F4" s="7"/>
      <c r="G4" s="20" t="s">
        <v>8</v>
      </c>
      <c r="H4" s="40"/>
      <c r="I4" s="19" t="str">
        <f>IF(SUM(L4,Q4,V4,AA4)=1,"","SUM OF WEIGHTS IS NOT 100%")</f>
        <v/>
      </c>
      <c r="J4" s="40"/>
      <c r="K4" s="3"/>
      <c r="L4" s="8">
        <v>0.3</v>
      </c>
      <c r="M4" s="41"/>
      <c r="N4" s="3"/>
      <c r="O4" s="41"/>
      <c r="P4" s="41"/>
      <c r="Q4" s="8">
        <v>0.2</v>
      </c>
      <c r="R4" s="41"/>
      <c r="S4" s="41"/>
      <c r="T4" s="41"/>
      <c r="U4" s="41"/>
      <c r="V4" s="8">
        <v>0.2</v>
      </c>
      <c r="W4" s="42"/>
      <c r="X4" s="42"/>
      <c r="Y4" s="42"/>
      <c r="Z4" s="42"/>
      <c r="AA4" s="8">
        <v>0.3</v>
      </c>
      <c r="AB4" s="4"/>
      <c r="AC4" s="5"/>
    </row>
    <row r="5" spans="1:33" x14ac:dyDescent="0.3">
      <c r="A5" s="30"/>
      <c r="B5" s="31" t="s">
        <v>9</v>
      </c>
      <c r="C5" s="30" t="s">
        <v>10</v>
      </c>
      <c r="D5" s="30"/>
      <c r="E5" s="29"/>
      <c r="F5" s="1"/>
      <c r="G5" s="9"/>
      <c r="H5" s="40"/>
      <c r="I5" s="40"/>
      <c r="J5" s="40"/>
      <c r="K5" s="3"/>
      <c r="L5" s="38"/>
      <c r="M5" s="41"/>
      <c r="N5" s="3"/>
      <c r="O5" s="41"/>
      <c r="P5" s="41"/>
      <c r="Q5" s="41"/>
      <c r="R5" s="41"/>
      <c r="S5" s="41"/>
      <c r="T5" s="41"/>
      <c r="U5" s="41"/>
      <c r="V5" s="42"/>
      <c r="W5" s="42"/>
      <c r="X5" s="42"/>
      <c r="Y5" s="42"/>
      <c r="Z5" s="42"/>
      <c r="AA5" s="41"/>
      <c r="AB5" s="4"/>
      <c r="AC5" s="5"/>
    </row>
    <row r="6" spans="1:33" s="30" customFormat="1" x14ac:dyDescent="0.3">
      <c r="B6" s="27"/>
      <c r="G6" s="9"/>
      <c r="K6" s="9"/>
      <c r="L6" s="10" t="s">
        <v>11</v>
      </c>
      <c r="N6" s="9"/>
      <c r="Q6" s="10" t="s">
        <v>12</v>
      </c>
      <c r="V6" s="10" t="s">
        <v>13</v>
      </c>
      <c r="W6" s="11"/>
      <c r="X6" s="11"/>
      <c r="AA6" s="10" t="s">
        <v>14</v>
      </c>
      <c r="AB6" s="10" t="s">
        <v>15</v>
      </c>
    </row>
    <row r="7" spans="1:33" ht="15.6" customHeight="1" x14ac:dyDescent="0.3">
      <c r="A7" s="30" t="s">
        <v>16</v>
      </c>
      <c r="B7" s="30" t="s">
        <v>17</v>
      </c>
      <c r="C7" s="30" t="s">
        <v>18</v>
      </c>
      <c r="D7" s="30" t="s">
        <v>19</v>
      </c>
      <c r="E7" s="30" t="s">
        <v>20</v>
      </c>
      <c r="F7" s="30" t="s">
        <v>21</v>
      </c>
      <c r="G7" s="12" t="s">
        <v>22</v>
      </c>
      <c r="H7" s="30" t="s">
        <v>23</v>
      </c>
      <c r="I7" s="30" t="s">
        <v>24</v>
      </c>
      <c r="J7" s="30" t="s">
        <v>25</v>
      </c>
      <c r="K7" s="12" t="s">
        <v>26</v>
      </c>
      <c r="L7" s="25" t="s">
        <v>27</v>
      </c>
      <c r="M7" s="30" t="s">
        <v>28</v>
      </c>
      <c r="N7" s="12" t="s">
        <v>29</v>
      </c>
      <c r="O7" s="30" t="s">
        <v>30</v>
      </c>
      <c r="P7" s="12" t="s">
        <v>31</v>
      </c>
      <c r="Q7" s="13" t="s">
        <v>32</v>
      </c>
      <c r="R7" s="30" t="s">
        <v>33</v>
      </c>
      <c r="S7" s="12" t="s">
        <v>34</v>
      </c>
      <c r="T7" s="30" t="s">
        <v>35</v>
      </c>
      <c r="U7" s="12" t="s">
        <v>36</v>
      </c>
      <c r="V7" s="13" t="s">
        <v>37</v>
      </c>
      <c r="W7" s="11" t="s">
        <v>38</v>
      </c>
      <c r="X7" s="12" t="s">
        <v>39</v>
      </c>
      <c r="Y7" s="11" t="s">
        <v>40</v>
      </c>
      <c r="Z7" s="12" t="s">
        <v>41</v>
      </c>
      <c r="AA7" s="10" t="s">
        <v>42</v>
      </c>
      <c r="AB7" s="26" t="s">
        <v>43</v>
      </c>
      <c r="AC7" s="14" t="s">
        <v>44</v>
      </c>
      <c r="AD7" s="41" t="s">
        <v>45</v>
      </c>
      <c r="AE7" s="41" t="s">
        <v>46</v>
      </c>
      <c r="AF7" s="41" t="s">
        <v>12</v>
      </c>
      <c r="AG7" s="41" t="s">
        <v>47</v>
      </c>
    </row>
    <row r="8" spans="1:33" x14ac:dyDescent="0.3">
      <c r="A8" t="s">
        <v>48</v>
      </c>
      <c r="B8" s="37">
        <v>3</v>
      </c>
      <c r="C8" s="37">
        <v>3</v>
      </c>
      <c r="D8" s="37">
        <v>30</v>
      </c>
      <c r="E8" s="38">
        <f>IF(Horses3658924235672372345823245678234523423[[#This Row],[Runs]]=0,0,Horses3658924235672372345823245678234523423[[#This Row],[Wins]]/Horses3658924235672372345823245678234523423[[#This Row],[Runs]])</f>
        <v>1</v>
      </c>
      <c r="F8" s="38">
        <f>IF(Horses3658924235672372345823245678234523423[[#This Row],[Runs]]=0,0,Horses3658924235672372345823245678234523423[[#This Row],[Places]]/Horses3658924235672372345823245678234523423[[#This Row],[Runs]])</f>
        <v>10</v>
      </c>
      <c r="G8" s="39">
        <f>_xlfn.RANK.EQ(Horses3658924235672372345823245678234523423[[#This Row],[Wins/Run]],Horses3658924235672372345823245678234523423[Wins/Run],0)</f>
        <v>1</v>
      </c>
      <c r="H8" s="40">
        <v>21293</v>
      </c>
      <c r="I8" s="40">
        <v>0</v>
      </c>
      <c r="J8" s="40">
        <f>IF(Horses3658924235672372345823245678234523423[[#This Row],[Runs]]=0,0,SUM(Horses3658924235672372345823245678234523423[[#This Row],[total win ££]]/Horses3658924235672372345823245678234523423[[#This Row],[Runs]]))</f>
        <v>7097.666666666667</v>
      </c>
      <c r="K8" s="39">
        <f>_xlfn.RANK.EQ(Horses3658924235672372345823245678234523423[[#This Row],[ave ££/run]],Horses3658924235672372345823245678234523423[ave ££/run],0)</f>
        <v>1</v>
      </c>
      <c r="L8" s="15">
        <f>(G8*K8*(-1))+10*COUNTA(Horses3658924235672372345823245678234523423[Name])</f>
        <v>119</v>
      </c>
      <c r="M8" s="41">
        <v>22</v>
      </c>
      <c r="N8" s="39">
        <f>_xlfn.RANK.EQ(Horses3658924235672372345823245678234523423[[#This Row],[last 3 ££]],Horses3658924235672372345823245678234523423[last 3 ££],0)</f>
        <v>4</v>
      </c>
      <c r="O8" s="41">
        <v>3</v>
      </c>
      <c r="P8" s="39">
        <f>_xlfn.RANK.EQ(Horses3658924235672372345823245678234523423[[#This Row],[last 3 pos]],Horses3658924235672372345823245678234523423[last 3 pos],1)</f>
        <v>1</v>
      </c>
      <c r="Q8" s="15">
        <f>(P8*N8*(-1))+10*COUNTA(Horses3658924235672372345823245678234523423[Name])</f>
        <v>116</v>
      </c>
      <c r="R8" s="41">
        <v>127</v>
      </c>
      <c r="S8" s="39">
        <f>_xlfn.RANK.EQ(Horses3658924235672372345823245678234523423[[#This Row],[Tspeed]],Horses3658924235672372345823245678234523423[Tspeed],0)</f>
        <v>1</v>
      </c>
      <c r="T8" s="42">
        <v>137</v>
      </c>
      <c r="U8" s="39">
        <f>_xlfn.RANK.EQ(Horses3658924235672372345823245678234523423[[#This Row],[RPR]],Horses3658924235672372345823245678234523423[RPR],0)</f>
        <v>1</v>
      </c>
      <c r="V8" s="15">
        <f>(S8*U8*(-1))+10*COUNTA(Horses3658924235672372345823245678234523423[Name])</f>
        <v>119</v>
      </c>
      <c r="W8" s="42">
        <v>100</v>
      </c>
      <c r="X8" s="39">
        <f>_xlfn.RANK.EQ(Horses3658924235672372345823245678234523423[[#This Row],[trip]],Horses3658924235672372345823245678234523423[trip],0)</f>
        <v>1</v>
      </c>
      <c r="Y8" s="42">
        <v>100</v>
      </c>
      <c r="Z8" s="39">
        <f>_xlfn.RANK.EQ(Horses3658924235672372345823245678234523423[[#This Row],[going]],Horses3658924235672372345823245678234523423[going],0)</f>
        <v>1</v>
      </c>
      <c r="AA8" s="15">
        <f>(X8*Z8*(-1))+10*COUNTA(Horses3658924235672372345823245678234523423[Name])</f>
        <v>119</v>
      </c>
      <c r="AB8" s="26">
        <f t="shared" ref="AB8:AB19" si="0">SUM(L8*$L$4)+(Q8*$Q$4)+(V8*$V$4)+(AA8*$AA$4)</f>
        <v>118.4</v>
      </c>
      <c r="AC8" s="14">
        <f>_xlfn.RANK.EQ(Horses3658924235672372345823245678234523423[[#This Row],[Rating]],Horses3658924235672372345823245678234523423[Rating],0)</f>
        <v>1</v>
      </c>
      <c r="AD8" s="28"/>
      <c r="AE8" s="28"/>
      <c r="AF8" s="28"/>
      <c r="AG8" s="28"/>
    </row>
    <row r="9" spans="1:33" x14ac:dyDescent="0.3">
      <c r="A9" t="s">
        <v>49</v>
      </c>
      <c r="B9" s="37">
        <v>2</v>
      </c>
      <c r="C9" s="37">
        <v>1</v>
      </c>
      <c r="D9" s="37">
        <v>1</v>
      </c>
      <c r="E9" s="38">
        <f>IF(Horses3658924235672372345823245678234523423[[#This Row],[Runs]]=0,0,Horses3658924235672372345823245678234523423[[#This Row],[Wins]]/Horses3658924235672372345823245678234523423[[#This Row],[Runs]])</f>
        <v>0.5</v>
      </c>
      <c r="F9" s="38">
        <f>IF(Horses3658924235672372345823245678234523423[[#This Row],[Runs]]=0,0,Horses3658924235672372345823245678234523423[[#This Row],[Places]]/Horses3658924235672372345823245678234523423[[#This Row],[Runs]])</f>
        <v>0.5</v>
      </c>
      <c r="G9" s="39">
        <f>_xlfn.RANK.EQ(Horses3658924235672372345823245678234523423[[#This Row],[Wins/Run]],Horses3658924235672372345823245678234523423[Wins/Run],0)</f>
        <v>2</v>
      </c>
      <c r="H9" s="40">
        <v>3769</v>
      </c>
      <c r="I9" s="40">
        <v>10576</v>
      </c>
      <c r="J9" s="40">
        <f>IF(Horses3658924235672372345823245678234523423[[#This Row],[Runs]]=0,0,SUM(Horses3658924235672372345823245678234523423[[#This Row],[total win ££]]/Horses3658924235672372345823245678234523423[[#This Row],[Runs]]))</f>
        <v>1884.5</v>
      </c>
      <c r="K9" s="39">
        <f>_xlfn.RANK.EQ(Horses3658924235672372345823245678234523423[[#This Row],[ave ££/run]],Horses3658924235672372345823245678234523423[ave ££/run],0)</f>
        <v>4</v>
      </c>
      <c r="L9" s="15">
        <f>(G9*K9*(-1))+10*COUNTA(Horses3658924235672372345823245678234523423[Name])</f>
        <v>112</v>
      </c>
      <c r="M9" s="41">
        <v>25</v>
      </c>
      <c r="N9" s="39">
        <f>_xlfn.RANK.EQ(Horses3658924235672372345823245678234523423[[#This Row],[last 3 ££]],Horses3658924235672372345823245678234523423[last 3 ££],0)</f>
        <v>1</v>
      </c>
      <c r="O9" s="41">
        <v>13</v>
      </c>
      <c r="P9" s="39">
        <f>_xlfn.RANK.EQ(Horses3658924235672372345823245678234523423[[#This Row],[last 3 pos]],Horses3658924235672372345823245678234523423[last 3 pos],1)</f>
        <v>8</v>
      </c>
      <c r="Q9" s="15">
        <f>(P9*N9*(-1))+10*COUNTA(Horses3658924235672372345823245678234523423[Name])</f>
        <v>112</v>
      </c>
      <c r="R9" s="41">
        <v>93</v>
      </c>
      <c r="S9" s="39">
        <f>_xlfn.RANK.EQ(Horses3658924235672372345823245678234523423[[#This Row],[Tspeed]],Horses3658924235672372345823245678234523423[Tspeed],0)</f>
        <v>6</v>
      </c>
      <c r="T9" s="42">
        <v>134</v>
      </c>
      <c r="U9" s="39">
        <f>_xlfn.RANK.EQ(Horses3658924235672372345823245678234523423[[#This Row],[RPR]],Horses3658924235672372345823245678234523423[RPR],0)</f>
        <v>3</v>
      </c>
      <c r="V9" s="15">
        <f>(S9*U9*(-1))+10*COUNTA(Horses3658924235672372345823245678234523423[Name])</f>
        <v>102</v>
      </c>
      <c r="W9" s="42">
        <v>100</v>
      </c>
      <c r="X9" s="39">
        <f>_xlfn.RANK.EQ(Horses3658924235672372345823245678234523423[[#This Row],[trip]],Horses3658924235672372345823245678234523423[trip],0)</f>
        <v>1</v>
      </c>
      <c r="Y9" s="42">
        <v>100</v>
      </c>
      <c r="Z9" s="39">
        <f>_xlfn.RANK.EQ(Horses3658924235672372345823245678234523423[[#This Row],[going]],Horses3658924235672372345823245678234523423[going],0)</f>
        <v>1</v>
      </c>
      <c r="AA9" s="15">
        <f>(X9*Z9*(-1))+10*COUNTA(Horses3658924235672372345823245678234523423[Name])</f>
        <v>119</v>
      </c>
      <c r="AB9" s="26">
        <f t="shared" si="0"/>
        <v>112.1</v>
      </c>
      <c r="AC9" s="14">
        <f>_xlfn.RANK.EQ(Horses3658924235672372345823245678234523423[[#This Row],[Rating]],Horses3658924235672372345823245678234523423[Rating],0)</f>
        <v>2</v>
      </c>
      <c r="AD9" s="28"/>
      <c r="AE9" s="28"/>
      <c r="AF9" s="28"/>
      <c r="AG9" s="28"/>
    </row>
    <row r="10" spans="1:33" x14ac:dyDescent="0.3">
      <c r="A10" t="s">
        <v>50</v>
      </c>
      <c r="B10" s="37">
        <v>4</v>
      </c>
      <c r="C10" s="37">
        <v>2</v>
      </c>
      <c r="D10" s="37">
        <v>2</v>
      </c>
      <c r="E10" s="38">
        <f>IF(Horses3658924235672372345823245678234523423[[#This Row],[Runs]]=0,0,Horses3658924235672372345823245678234523423[[#This Row],[Wins]]/Horses3658924235672372345823245678234523423[[#This Row],[Runs]])</f>
        <v>0.5</v>
      </c>
      <c r="F10" s="38">
        <f>IF(Horses3658924235672372345823245678234523423[[#This Row],[Runs]]=0,0,Horses3658924235672372345823245678234523423[[#This Row],[Places]]/Horses3658924235672372345823245678234523423[[#This Row],[Runs]])</f>
        <v>0.5</v>
      </c>
      <c r="G10" s="39">
        <f>_xlfn.RANK.EQ(Horses3658924235672372345823245678234523423[[#This Row],[Wins/Run]],Horses3658924235672372345823245678234523423[Wins/Run],0)</f>
        <v>2</v>
      </c>
      <c r="H10" s="40">
        <v>11820</v>
      </c>
      <c r="I10" s="40">
        <v>4459</v>
      </c>
      <c r="J10" s="40">
        <f>IF(Horses3658924235672372345823245678234523423[[#This Row],[Runs]]=0,0,SUM(Horses3658924235672372345823245678234523423[[#This Row],[total win ££]]/Horses3658924235672372345823245678234523423[[#This Row],[Runs]]))</f>
        <v>2955</v>
      </c>
      <c r="K10" s="39">
        <f>_xlfn.RANK.EQ(Horses3658924235672372345823245678234523423[[#This Row],[ave ££/run]],Horses3658924235672372345823245678234523423[ave ££/run],0)</f>
        <v>2</v>
      </c>
      <c r="L10" s="15">
        <f>(G10*K10*(-1))+10*COUNTA(Horses3658924235672372345823245678234523423[Name])</f>
        <v>116</v>
      </c>
      <c r="M10" s="41">
        <v>24</v>
      </c>
      <c r="N10" s="39">
        <f>_xlfn.RANK.EQ(Horses3658924235672372345823245678234523423[[#This Row],[last 3 ££]],Horses3658924235672372345823245678234523423[last 3 ££],0)</f>
        <v>2</v>
      </c>
      <c r="O10" s="41">
        <v>5</v>
      </c>
      <c r="P10" s="39">
        <f>_xlfn.RANK.EQ(Horses3658924235672372345823245678234523423[[#This Row],[last 3 pos]],Horses3658924235672372345823245678234523423[last 3 pos],1)</f>
        <v>2</v>
      </c>
      <c r="Q10" s="15">
        <f>(P10*N10*(-1))+10*COUNTA(Horses3658924235672372345823245678234523423[Name])</f>
        <v>116</v>
      </c>
      <c r="R10" s="41">
        <v>73</v>
      </c>
      <c r="S10" s="39">
        <f>_xlfn.RANK.EQ(Horses3658924235672372345823245678234523423[[#This Row],[Tspeed]],Horses3658924235672372345823245678234523423[Tspeed],0)</f>
        <v>10</v>
      </c>
      <c r="T10" s="42">
        <v>130</v>
      </c>
      <c r="U10" s="39">
        <f>_xlfn.RANK.EQ(Horses3658924235672372345823245678234523423[[#This Row],[RPR]],Horses3658924235672372345823245678234523423[RPR],0)</f>
        <v>5</v>
      </c>
      <c r="V10" s="15">
        <f>(S10*U10*(-1))+10*COUNTA(Horses3658924235672372345823245678234523423[Name])</f>
        <v>70</v>
      </c>
      <c r="W10" s="42">
        <v>100</v>
      </c>
      <c r="X10" s="39">
        <f>_xlfn.RANK.EQ(Horses3658924235672372345823245678234523423[[#This Row],[trip]],Horses3658924235672372345823245678234523423[trip],0)</f>
        <v>1</v>
      </c>
      <c r="Y10" s="42">
        <v>100</v>
      </c>
      <c r="Z10" s="39">
        <f>_xlfn.RANK.EQ(Horses3658924235672372345823245678234523423[[#This Row],[going]],Horses3658924235672372345823245678234523423[going],0)</f>
        <v>1</v>
      </c>
      <c r="AA10" s="15">
        <f>(X10*Z10*(-1))+10*COUNTA(Horses3658924235672372345823245678234523423[Name])</f>
        <v>119</v>
      </c>
      <c r="AB10" s="26">
        <f t="shared" si="0"/>
        <v>107.69999999999999</v>
      </c>
      <c r="AC10" s="14">
        <f>_xlfn.RANK.EQ(Horses3658924235672372345823245678234523423[[#This Row],[Rating]],Horses3658924235672372345823245678234523423[Rating],0)</f>
        <v>3</v>
      </c>
      <c r="AD10" s="28"/>
      <c r="AE10" s="28"/>
      <c r="AF10" s="28"/>
      <c r="AG10" s="28"/>
    </row>
    <row r="11" spans="1:33" x14ac:dyDescent="0.3">
      <c r="A11" t="s">
        <v>51</v>
      </c>
      <c r="B11" s="37">
        <v>7</v>
      </c>
      <c r="C11" s="37">
        <v>3</v>
      </c>
      <c r="D11" s="37">
        <v>2</v>
      </c>
      <c r="E11" s="38">
        <f>IF(Horses3658924235672372345823245678234523423[[#This Row],[Runs]]=0,0,Horses3658924235672372345823245678234523423[[#This Row],[Wins]]/Horses3658924235672372345823245678234523423[[#This Row],[Runs]])</f>
        <v>0.42857142857142855</v>
      </c>
      <c r="F11" s="38">
        <f>IF(Horses3658924235672372345823245678234523423[[#This Row],[Runs]]=0,0,Horses3658924235672372345823245678234523423[[#This Row],[Places]]/Horses3658924235672372345823245678234523423[[#This Row],[Runs]])</f>
        <v>0.2857142857142857</v>
      </c>
      <c r="G11" s="39">
        <f>_xlfn.RANK.EQ(Horses3658924235672372345823245678234523423[[#This Row],[Wins/Run]],Horses3658924235672372345823245678234523423[Wins/Run],0)</f>
        <v>4</v>
      </c>
      <c r="H11" s="40">
        <v>12900</v>
      </c>
      <c r="I11" s="40">
        <v>1982</v>
      </c>
      <c r="J11" s="40">
        <f>IF(Horses3658924235672372345823245678234523423[[#This Row],[Runs]]=0,0,SUM(Horses3658924235672372345823245678234523423[[#This Row],[total win ££]]/Horses3658924235672372345823245678234523423[[#This Row],[Runs]]))</f>
        <v>1842.8571428571429</v>
      </c>
      <c r="K11" s="39">
        <f>_xlfn.RANK.EQ(Horses3658924235672372345823245678234523423[[#This Row],[ave ££/run]],Horses3658924235672372345823245678234523423[ave ££/run],0)</f>
        <v>5</v>
      </c>
      <c r="L11" s="15">
        <f>(G11*K11*(-1))+10*COUNTA(Horses3658924235672372345823245678234523423[Name])</f>
        <v>100</v>
      </c>
      <c r="M11" s="41">
        <v>14</v>
      </c>
      <c r="N11" s="39">
        <f>_xlfn.RANK.EQ(Horses3658924235672372345823245678234523423[[#This Row],[last 3 ££]],Horses3658924235672372345823245678234523423[last 3 ££],0)</f>
        <v>6</v>
      </c>
      <c r="O11" s="41">
        <v>14</v>
      </c>
      <c r="P11" s="39">
        <f>_xlfn.RANK.EQ(Horses3658924235672372345823245678234523423[[#This Row],[last 3 pos]],Horses3658924235672372345823245678234523423[last 3 pos],1)</f>
        <v>9</v>
      </c>
      <c r="Q11" s="15">
        <f>(P11*N11*(-1))+10*COUNTA(Horses3658924235672372345823245678234523423[Name])</f>
        <v>66</v>
      </c>
      <c r="R11" s="41">
        <v>112</v>
      </c>
      <c r="S11" s="39">
        <f>_xlfn.RANK.EQ(Horses3658924235672372345823245678234523423[[#This Row],[Tspeed]],Horses3658924235672372345823245678234523423[Tspeed],0)</f>
        <v>3</v>
      </c>
      <c r="T11" s="42">
        <v>126</v>
      </c>
      <c r="U11" s="39">
        <f>_xlfn.RANK.EQ(Horses3658924235672372345823245678234523423[[#This Row],[RPR]],Horses3658924235672372345823245678234523423[RPR],0)</f>
        <v>6</v>
      </c>
      <c r="V11" s="15">
        <f>(S11*U11*(-1))+10*COUNTA(Horses3658924235672372345823245678234523423[Name])</f>
        <v>102</v>
      </c>
      <c r="W11" s="42">
        <v>100</v>
      </c>
      <c r="X11" s="39">
        <f>_xlfn.RANK.EQ(Horses3658924235672372345823245678234523423[[#This Row],[trip]],Horses3658924235672372345823245678234523423[trip],0)</f>
        <v>1</v>
      </c>
      <c r="Y11" s="42">
        <v>67</v>
      </c>
      <c r="Z11" s="39">
        <f>_xlfn.RANK.EQ(Horses3658924235672372345823245678234523423[[#This Row],[going]],Horses3658924235672372345823245678234523423[going],0)</f>
        <v>4</v>
      </c>
      <c r="AA11" s="15">
        <f>(X11*Z11*(-1))+10*COUNTA(Horses3658924235672372345823245678234523423[Name])</f>
        <v>116</v>
      </c>
      <c r="AB11" s="26">
        <f t="shared" si="0"/>
        <v>98.4</v>
      </c>
      <c r="AC11" s="14">
        <f>_xlfn.RANK.EQ(Horses3658924235672372345823245678234523423[[#This Row],[Rating]],Horses3658924235672372345823245678234523423[Rating],0)</f>
        <v>4</v>
      </c>
      <c r="AD11" s="28"/>
      <c r="AE11" s="28"/>
      <c r="AF11" s="28"/>
      <c r="AG11" s="28"/>
    </row>
    <row r="12" spans="1:33" x14ac:dyDescent="0.3">
      <c r="A12" t="s">
        <v>52</v>
      </c>
      <c r="B12" s="37">
        <v>8</v>
      </c>
      <c r="C12" s="37">
        <v>2</v>
      </c>
      <c r="D12" s="37">
        <v>2</v>
      </c>
      <c r="E12" s="38">
        <f>IF(Horses3658924235672372345823245678234523423[[#This Row],[Runs]]=0,0,Horses3658924235672372345823245678234523423[[#This Row],[Wins]]/Horses3658924235672372345823245678234523423[[#This Row],[Runs]])</f>
        <v>0.25</v>
      </c>
      <c r="F12" s="38">
        <f>IF(Horses3658924235672372345823245678234523423[[#This Row],[Runs]]=0,0,Horses3658924235672372345823245678234523423[[#This Row],[Places]]/Horses3658924235672372345823245678234523423[[#This Row],[Runs]])</f>
        <v>0.25</v>
      </c>
      <c r="G12" s="39">
        <f>_xlfn.RANK.EQ(Horses3658924235672372345823245678234523423[[#This Row],[Wins/Run]],Horses3658924235672372345823245678234523423[Wins/Run],0)</f>
        <v>7</v>
      </c>
      <c r="H12" s="40">
        <v>7278</v>
      </c>
      <c r="I12" s="40">
        <v>1644</v>
      </c>
      <c r="J12" s="40">
        <f>IF(Horses3658924235672372345823245678234523423[[#This Row],[Runs]]=0,0,SUM(Horses3658924235672372345823245678234523423[[#This Row],[total win ££]]/Horses3658924235672372345823245678234523423[[#This Row],[Runs]]))</f>
        <v>909.75</v>
      </c>
      <c r="K12" s="39">
        <f>_xlfn.RANK.EQ(Horses3658924235672372345823245678234523423[[#This Row],[ave ££/run]],Horses3658924235672372345823245678234523423[ave ££/run],0)</f>
        <v>7</v>
      </c>
      <c r="L12" s="15">
        <f>(G12*K12*(-1))+10*COUNTA(Horses3658924235672372345823245678234523423[Name])</f>
        <v>71</v>
      </c>
      <c r="M12" s="41">
        <v>12</v>
      </c>
      <c r="N12" s="39">
        <f>_xlfn.RANK.EQ(Horses3658924235672372345823245678234523423[[#This Row],[last 3 ££]],Horses3658924235672372345823245678234523423[last 3 ££],0)</f>
        <v>9</v>
      </c>
      <c r="O12" s="41">
        <v>6</v>
      </c>
      <c r="P12" s="39">
        <f>_xlfn.RANK.EQ(Horses3658924235672372345823245678234523423[[#This Row],[last 3 pos]],Horses3658924235672372345823245678234523423[last 3 pos],1)</f>
        <v>3</v>
      </c>
      <c r="Q12" s="15">
        <f>(P12*N12*(-1))+10*COUNTA(Horses3658924235672372345823245678234523423[Name])</f>
        <v>93</v>
      </c>
      <c r="R12" s="41">
        <v>107</v>
      </c>
      <c r="S12" s="39">
        <f>_xlfn.RANK.EQ(Horses3658924235672372345823245678234523423[[#This Row],[Tspeed]],Horses3658924235672372345823245678234523423[Tspeed],0)</f>
        <v>4</v>
      </c>
      <c r="T12" s="42">
        <v>121</v>
      </c>
      <c r="U12" s="39">
        <f>_xlfn.RANK.EQ(Horses3658924235672372345823245678234523423[[#This Row],[RPR]],Horses3658924235672372345823245678234523423[RPR],0)</f>
        <v>7</v>
      </c>
      <c r="V12" s="15">
        <f>(S12*U12*(-1))+10*COUNTA(Horses3658924235672372345823245678234523423[Name])</f>
        <v>92</v>
      </c>
      <c r="W12" s="42">
        <v>100</v>
      </c>
      <c r="X12" s="39">
        <f>_xlfn.RANK.EQ(Horses3658924235672372345823245678234523423[[#This Row],[trip]],Horses3658924235672372345823245678234523423[trip],0)</f>
        <v>1</v>
      </c>
      <c r="Y12" s="42">
        <v>33</v>
      </c>
      <c r="Z12" s="39">
        <f>_xlfn.RANK.EQ(Horses3658924235672372345823245678234523423[[#This Row],[going]],Horses3658924235672372345823245678234523423[going],0)</f>
        <v>5</v>
      </c>
      <c r="AA12" s="15">
        <f>(X12*Z12*(-1))+10*COUNTA(Horses3658924235672372345823245678234523423[Name])</f>
        <v>115</v>
      </c>
      <c r="AB12" s="26">
        <f t="shared" si="0"/>
        <v>92.800000000000011</v>
      </c>
      <c r="AC12" s="14">
        <f>_xlfn.RANK.EQ(Horses3658924235672372345823245678234523423[[#This Row],[Rating]],Horses3658924235672372345823245678234523423[Rating],0)</f>
        <v>5</v>
      </c>
      <c r="AD12" s="28"/>
      <c r="AE12" s="28"/>
      <c r="AF12" s="28"/>
      <c r="AG12" s="28"/>
    </row>
    <row r="13" spans="1:33" x14ac:dyDescent="0.3">
      <c r="A13" s="43" t="s">
        <v>53</v>
      </c>
      <c r="B13" s="37">
        <v>5</v>
      </c>
      <c r="C13" s="37">
        <v>2</v>
      </c>
      <c r="D13" s="37">
        <v>1</v>
      </c>
      <c r="E13" s="38">
        <f>IF(Horses3658924235672372345823245678234523423[[#This Row],[Runs]]=0,0,Horses3658924235672372345823245678234523423[[#This Row],[Wins]]/Horses3658924235672372345823245678234523423[[#This Row],[Runs]])</f>
        <v>0.4</v>
      </c>
      <c r="F13" s="38">
        <f>IF(Horses3658924235672372345823245678234523423[[#This Row],[Runs]]=0,0,Horses3658924235672372345823245678234523423[[#This Row],[Places]]/Horses3658924235672372345823245678234523423[[#This Row],[Runs]])</f>
        <v>0.2</v>
      </c>
      <c r="G13" s="39">
        <f>_xlfn.RANK.EQ(Horses3658924235672372345823245678234523423[[#This Row],[Wins/Run]],Horses3658924235672372345823245678234523423[Wins/Run],0)</f>
        <v>5</v>
      </c>
      <c r="H13" s="40">
        <v>13424</v>
      </c>
      <c r="I13" s="40">
        <v>7474</v>
      </c>
      <c r="J13" s="40">
        <f>IF(Horses3658924235672372345823245678234523423[[#This Row],[Runs]]=0,0,SUM(Horses3658924235672372345823245678234523423[[#This Row],[total win ££]]/Horses3658924235672372345823245678234523423[[#This Row],[Runs]]))</f>
        <v>2684.8</v>
      </c>
      <c r="K13" s="39">
        <f>_xlfn.RANK.EQ(Horses3658924235672372345823245678234523423[[#This Row],[ave ££/run]],Horses3658924235672372345823245678234523423[ave ££/run],0)</f>
        <v>3</v>
      </c>
      <c r="L13" s="15">
        <f>(G13*K13*(-1))+10*COUNTA(Horses3658924235672372345823245678234523423[Name])</f>
        <v>105</v>
      </c>
      <c r="M13" s="41">
        <v>23</v>
      </c>
      <c r="N13" s="39">
        <f>_xlfn.RANK.EQ(Horses3658924235672372345823245678234523423[[#This Row],[last 3 ££]],Horses3658924235672372345823245678234523423[last 3 ££],0)</f>
        <v>3</v>
      </c>
      <c r="O13" s="41">
        <v>7</v>
      </c>
      <c r="P13" s="39">
        <f>_xlfn.RANK.EQ(Horses3658924235672372345823245678234523423[[#This Row],[last 3 pos]],Horses3658924235672372345823245678234523423[last 3 pos],1)</f>
        <v>4</v>
      </c>
      <c r="Q13" s="15">
        <f>(P13*N13*(-1))+10*COUNTA(Horses3658924235672372345823245678234523423[Name])</f>
        <v>108</v>
      </c>
      <c r="R13" s="41">
        <v>0</v>
      </c>
      <c r="S13" s="39">
        <f>_xlfn.RANK.EQ(Horses3658924235672372345823245678234523423[[#This Row],[Tspeed]],Horses3658924235672372345823245678234523423[Tspeed],0)</f>
        <v>11</v>
      </c>
      <c r="T13" s="42">
        <v>132</v>
      </c>
      <c r="U13" s="39">
        <f>_xlfn.RANK.EQ(Horses3658924235672372345823245678234523423[[#This Row],[RPR]],Horses3658924235672372345823245678234523423[RPR],0)</f>
        <v>4</v>
      </c>
      <c r="V13" s="15">
        <f>(S13*U13*(-1))+10*COUNTA(Horses3658924235672372345823245678234523423[Name])</f>
        <v>76</v>
      </c>
      <c r="W13" s="42"/>
      <c r="X13" s="39">
        <f>_xlfn.RANK.EQ(Horses3658924235672372345823245678234523423[[#This Row],[trip]],Horses3658924235672372345823245678234523423[trip],0)</f>
        <v>8</v>
      </c>
      <c r="Y13" s="42"/>
      <c r="Z13" s="39">
        <f>_xlfn.RANK.EQ(Horses3658924235672372345823245678234523423[[#This Row],[going]],Horses3658924235672372345823245678234523423[going],0)</f>
        <v>6</v>
      </c>
      <c r="AA13" s="15">
        <f>(X13*Z13*(-1))+10*COUNTA(Horses3658924235672372345823245678234523423[Name])</f>
        <v>72</v>
      </c>
      <c r="AB13" s="26">
        <f t="shared" si="0"/>
        <v>89.899999999999991</v>
      </c>
      <c r="AC13" s="14">
        <f>_xlfn.RANK.EQ(Horses3658924235672372345823245678234523423[[#This Row],[Rating]],Horses3658924235672372345823245678234523423[Rating],0)</f>
        <v>6</v>
      </c>
      <c r="AD13" s="28"/>
      <c r="AE13" s="28"/>
      <c r="AF13" s="28"/>
      <c r="AG13" s="28"/>
    </row>
    <row r="14" spans="1:33" x14ac:dyDescent="0.3">
      <c r="A14" t="s">
        <v>54</v>
      </c>
      <c r="B14" s="37">
        <v>6</v>
      </c>
      <c r="C14" s="37">
        <v>1</v>
      </c>
      <c r="D14" s="37">
        <v>1</v>
      </c>
      <c r="E14" s="38">
        <f>IF(Horses3658924235672372345823245678234523423[[#This Row],[Runs]]=0,0,Horses3658924235672372345823245678234523423[[#This Row],[Wins]]/Horses3658924235672372345823245678234523423[[#This Row],[Runs]])</f>
        <v>0.16666666666666666</v>
      </c>
      <c r="F14" s="38">
        <f>IF(Horses3658924235672372345823245678234523423[[#This Row],[Runs]]=0,0,Horses3658924235672372345823245678234523423[[#This Row],[Places]]/Horses3658924235672372345823245678234523423[[#This Row],[Runs]])</f>
        <v>0.16666666666666666</v>
      </c>
      <c r="G14" s="39">
        <f>_xlfn.RANK.EQ(Horses3658924235672372345823245678234523423[[#This Row],[Wins/Run]],Horses3658924235672372345823245678234523423[Wins/Run],0)</f>
        <v>8</v>
      </c>
      <c r="H14" s="40">
        <v>3769</v>
      </c>
      <c r="I14" s="40">
        <v>1605</v>
      </c>
      <c r="J14" s="40">
        <f>IF(Horses3658924235672372345823245678234523423[[#This Row],[Runs]]=0,0,SUM(Horses3658924235672372345823245678234523423[[#This Row],[total win ££]]/Horses3658924235672372345823245678234523423[[#This Row],[Runs]]))</f>
        <v>628.16666666666663</v>
      </c>
      <c r="K14" s="39">
        <f>_xlfn.RANK.EQ(Horses3658924235672372345823245678234523423[[#This Row],[ave ££/run]],Horses3658924235672372345823245678234523423[ave ££/run],0)</f>
        <v>8</v>
      </c>
      <c r="L14" s="15">
        <f>(G14*K14*(-1))+10*COUNTA(Horses3658924235672372345823245678234523423[Name])</f>
        <v>56</v>
      </c>
      <c r="M14" s="41">
        <v>18</v>
      </c>
      <c r="N14" s="39">
        <f>_xlfn.RANK.EQ(Horses3658924235672372345823245678234523423[[#This Row],[last 3 ££]],Horses3658924235672372345823245678234523423[last 3 ££],0)</f>
        <v>5</v>
      </c>
      <c r="O14" s="41">
        <v>9</v>
      </c>
      <c r="P14" s="39">
        <f>_xlfn.RANK.EQ(Horses3658924235672372345823245678234523423[[#This Row],[last 3 pos]],Horses3658924235672372345823245678234523423[last 3 pos],1)</f>
        <v>6</v>
      </c>
      <c r="Q14" s="15">
        <f>(P14*N14*(-1))+10*COUNTA(Horses3658924235672372345823245678234523423[Name])</f>
        <v>90</v>
      </c>
      <c r="R14" s="41">
        <v>121</v>
      </c>
      <c r="S14" s="39">
        <f>_xlfn.RANK.EQ(Horses3658924235672372345823245678234523423[[#This Row],[Tspeed]],Horses3658924235672372345823245678234523423[Tspeed],0)</f>
        <v>2</v>
      </c>
      <c r="T14" s="42">
        <v>135</v>
      </c>
      <c r="U14" s="39">
        <f>_xlfn.RANK.EQ(Horses3658924235672372345823245678234523423[[#This Row],[RPR]],Horses3658924235672372345823245678234523423[RPR],0)</f>
        <v>2</v>
      </c>
      <c r="V14" s="15">
        <f>(S14*U14*(-1))+10*COUNTA(Horses3658924235672372345823245678234523423[Name])</f>
        <v>116</v>
      </c>
      <c r="W14" s="42">
        <v>50</v>
      </c>
      <c r="X14" s="39">
        <f>_xlfn.RANK.EQ(Horses3658924235672372345823245678234523423[[#This Row],[trip]],Horses3658924235672372345823245678234523423[trip],0)</f>
        <v>6</v>
      </c>
      <c r="Y14" s="42">
        <v>0</v>
      </c>
      <c r="Z14" s="39">
        <f>_xlfn.RANK.EQ(Horses3658924235672372345823245678234523423[[#This Row],[going]],Horses3658924235672372345823245678234523423[going],0)</f>
        <v>6</v>
      </c>
      <c r="AA14" s="15">
        <f>(X14*Z14*(-1))+10*COUNTA(Horses3658924235672372345823245678234523423[Name])</f>
        <v>84</v>
      </c>
      <c r="AB14" s="26">
        <f t="shared" si="0"/>
        <v>83.2</v>
      </c>
      <c r="AC14" s="14">
        <f>_xlfn.RANK.EQ(Horses3658924235672372345823245678234523423[[#This Row],[Rating]],Horses3658924235672372345823245678234523423[Rating],0)</f>
        <v>7</v>
      </c>
      <c r="AD14" s="28"/>
      <c r="AE14" s="28"/>
      <c r="AF14" s="28"/>
      <c r="AG14" s="28"/>
    </row>
    <row r="15" spans="1:33" x14ac:dyDescent="0.3">
      <c r="A15" t="s">
        <v>55</v>
      </c>
      <c r="B15" s="37">
        <v>6</v>
      </c>
      <c r="C15" s="37">
        <v>1</v>
      </c>
      <c r="D15" s="37">
        <v>1</v>
      </c>
      <c r="E15" s="38">
        <f>IF(Horses3658924235672372345823245678234523423[[#This Row],[Runs]]=0,0,Horses3658924235672372345823245678234523423[[#This Row],[Wins]]/Horses3658924235672372345823245678234523423[[#This Row],[Runs]])</f>
        <v>0.16666666666666666</v>
      </c>
      <c r="F15" s="38">
        <f>IF(Horses3658924235672372345823245678234523423[[#This Row],[Runs]]=0,0,Horses3658924235672372345823245678234523423[[#This Row],[Places]]/Horses3658924235672372345823245678234523423[[#This Row],[Runs]])</f>
        <v>0.16666666666666666</v>
      </c>
      <c r="G15" s="39">
        <f>_xlfn.RANK.EQ(Horses3658924235672372345823245678234523423[[#This Row],[Wins/Run]],Horses3658924235672372345823245678234523423[Wins/Run],0)</f>
        <v>8</v>
      </c>
      <c r="H15" s="40">
        <v>3769</v>
      </c>
      <c r="I15" s="40">
        <v>2499</v>
      </c>
      <c r="J15" s="40">
        <f>IF(Horses3658924235672372345823245678234523423[[#This Row],[Runs]]=0,0,SUM(Horses3658924235672372345823245678234523423[[#This Row],[total win ££]]/Horses3658924235672372345823245678234523423[[#This Row],[Runs]]))</f>
        <v>628.16666666666663</v>
      </c>
      <c r="K15" s="39">
        <f>_xlfn.RANK.EQ(Horses3658924235672372345823245678234523423[[#This Row],[ave ££/run]],Horses3658924235672372345823245678234523423[ave ££/run],0)</f>
        <v>8</v>
      </c>
      <c r="L15" s="15">
        <f>(G15*K15*(-1))+10*COUNTA(Horses3658924235672372345823245678234523423[Name])</f>
        <v>56</v>
      </c>
      <c r="M15" s="41">
        <v>13</v>
      </c>
      <c r="N15" s="39">
        <f>_xlfn.RANK.EQ(Horses3658924235672372345823245678234523423[[#This Row],[last 3 ££]],Horses3658924235672372345823245678234523423[last 3 ££],0)</f>
        <v>7</v>
      </c>
      <c r="O15" s="41">
        <v>7</v>
      </c>
      <c r="P15" s="39">
        <f>_xlfn.RANK.EQ(Horses3658924235672372345823245678234523423[[#This Row],[last 3 pos]],Horses3658924235672372345823245678234523423[last 3 pos],1)</f>
        <v>4</v>
      </c>
      <c r="Q15" s="15">
        <f>(P15*N15*(-1))+10*COUNTA(Horses3658924235672372345823245678234523423[Name])</f>
        <v>92</v>
      </c>
      <c r="R15" s="41">
        <v>77</v>
      </c>
      <c r="S15" s="39">
        <f>_xlfn.RANK.EQ(Horses3658924235672372345823245678234523423[[#This Row],[Tspeed]],Horses3658924235672372345823245678234523423[Tspeed],0)</f>
        <v>8</v>
      </c>
      <c r="T15" s="42">
        <v>113</v>
      </c>
      <c r="U15" s="39">
        <f>_xlfn.RANK.EQ(Horses3658924235672372345823245678234523423[[#This Row],[RPR]],Horses3658924235672372345823245678234523423[RPR],0)</f>
        <v>9</v>
      </c>
      <c r="V15" s="15">
        <f>(S15*U15*(-1))+10*COUNTA(Horses3658924235672372345823245678234523423[Name])</f>
        <v>48</v>
      </c>
      <c r="W15" s="42">
        <v>0</v>
      </c>
      <c r="X15" s="39">
        <f>_xlfn.RANK.EQ(Horses3658924235672372345823245678234523423[[#This Row],[trip]],Horses3658924235672372345823245678234523423[trip],0)</f>
        <v>8</v>
      </c>
      <c r="Y15" s="42">
        <v>0</v>
      </c>
      <c r="Z15" s="39">
        <f>_xlfn.RANK.EQ(Horses3658924235672372345823245678234523423[[#This Row],[going]],Horses3658924235672372345823245678234523423[going],0)</f>
        <v>6</v>
      </c>
      <c r="AA15" s="15">
        <f>(X15*Z15*(-1))+10*COUNTA(Horses3658924235672372345823245678234523423[Name])</f>
        <v>72</v>
      </c>
      <c r="AB15" s="26">
        <f t="shared" si="0"/>
        <v>66.400000000000006</v>
      </c>
      <c r="AC15" s="14">
        <f>_xlfn.RANK.EQ(Horses3658924235672372345823245678234523423[[#This Row],[Rating]],Horses3658924235672372345823245678234523423[Rating],0)</f>
        <v>8</v>
      </c>
      <c r="AD15" s="28"/>
      <c r="AE15" s="28"/>
      <c r="AF15" s="28"/>
      <c r="AG15" s="28"/>
    </row>
    <row r="16" spans="1:33" x14ac:dyDescent="0.3">
      <c r="A16" s="43" t="s">
        <v>56</v>
      </c>
      <c r="B16" s="37">
        <v>3</v>
      </c>
      <c r="C16" s="37">
        <v>1</v>
      </c>
      <c r="D16" s="37">
        <v>1</v>
      </c>
      <c r="E16" s="38">
        <f>IF(Horses3658924235672372345823245678234523423[[#This Row],[Runs]]=0,0,Horses3658924235672372345823245678234523423[[#This Row],[Wins]]/Horses3658924235672372345823245678234523423[[#This Row],[Runs]])</f>
        <v>0.33333333333333331</v>
      </c>
      <c r="F16" s="38">
        <f>IF(Horses3658924235672372345823245678234523423[[#This Row],[Runs]]=0,0,Horses3658924235672372345823245678234523423[[#This Row],[Places]]/Horses3658924235672372345823245678234523423[[#This Row],[Runs]])</f>
        <v>0.33333333333333331</v>
      </c>
      <c r="G16" s="39">
        <f>_xlfn.RANK.EQ(Horses3658924235672372345823245678234523423[[#This Row],[Wins/Run]],Horses3658924235672372345823245678234523423[Wins/Run],0)</f>
        <v>6</v>
      </c>
      <c r="H16" s="40">
        <v>4025</v>
      </c>
      <c r="I16" s="40">
        <v>1611</v>
      </c>
      <c r="J16" s="40">
        <f>IF(Horses3658924235672372345823245678234523423[[#This Row],[Runs]]=0,0,SUM(Horses3658924235672372345823245678234523423[[#This Row],[total win ££]]/Horses3658924235672372345823245678234523423[[#This Row],[Runs]]))</f>
        <v>1341.6666666666667</v>
      </c>
      <c r="K16" s="39">
        <f>_xlfn.RANK.EQ(Horses3658924235672372345823245678234523423[[#This Row],[ave ££/run]],Horses3658924235672372345823245678234523423[ave ££/run],0)</f>
        <v>6</v>
      </c>
      <c r="L16" s="15">
        <f>(G16*K16*(-1))+10*COUNTA(Horses3658924235672372345823245678234523423[Name])</f>
        <v>84</v>
      </c>
      <c r="M16" s="41">
        <v>13</v>
      </c>
      <c r="N16" s="39">
        <f>_xlfn.RANK.EQ(Horses3658924235672372345823245678234523423[[#This Row],[last 3 ££]],Horses3658924235672372345823245678234523423[last 3 ££],0)</f>
        <v>7</v>
      </c>
      <c r="O16" s="41">
        <v>10</v>
      </c>
      <c r="P16" s="39">
        <f>_xlfn.RANK.EQ(Horses3658924235672372345823245678234523423[[#This Row],[last 3 pos]],Horses3658924235672372345823245678234523423[last 3 pos],1)</f>
        <v>7</v>
      </c>
      <c r="Q16" s="15">
        <f>(P16*N16*(-1))+10*COUNTA(Horses3658924235672372345823245678234523423[Name])</f>
        <v>71</v>
      </c>
      <c r="R16" s="41">
        <v>0</v>
      </c>
      <c r="S16" s="39">
        <f>_xlfn.RANK.EQ(Horses3658924235672372345823245678234523423[[#This Row],[Tspeed]],Horses3658924235672372345823245678234523423[Tspeed],0)</f>
        <v>11</v>
      </c>
      <c r="T16" s="42">
        <v>0</v>
      </c>
      <c r="U16" s="39">
        <f>_xlfn.RANK.EQ(Horses3658924235672372345823245678234523423[[#This Row],[RPR]],Horses3658924235672372345823245678234523423[RPR],0)</f>
        <v>12</v>
      </c>
      <c r="V16" s="15">
        <f>(S16*U16*(-1))+10*COUNTA(Horses3658924235672372345823245678234523423[Name])</f>
        <v>-12</v>
      </c>
      <c r="W16" s="42"/>
      <c r="X16" s="39">
        <f>_xlfn.RANK.EQ(Horses3658924235672372345823245678234523423[[#This Row],[trip]],Horses3658924235672372345823245678234523423[trip],0)</f>
        <v>8</v>
      </c>
      <c r="Y16" s="42"/>
      <c r="Z16" s="39">
        <f>_xlfn.RANK.EQ(Horses3658924235672372345823245678234523423[[#This Row],[going]],Horses3658924235672372345823245678234523423[going],0)</f>
        <v>6</v>
      </c>
      <c r="AA16" s="15">
        <f>(X16*Z16*(-1))+10*COUNTA(Horses3658924235672372345823245678234523423[Name])</f>
        <v>72</v>
      </c>
      <c r="AB16" s="26">
        <f t="shared" si="0"/>
        <v>58.599999999999994</v>
      </c>
      <c r="AC16" s="14">
        <f>_xlfn.RANK.EQ(Horses3658924235672372345823245678234523423[[#This Row],[Rating]],Horses3658924235672372345823245678234523423[Rating],0)</f>
        <v>9</v>
      </c>
      <c r="AD16" s="28"/>
      <c r="AE16" s="28"/>
      <c r="AF16" s="28"/>
      <c r="AG16" s="28"/>
    </row>
    <row r="17" spans="1:33" x14ac:dyDescent="0.3">
      <c r="A17" t="s">
        <v>57</v>
      </c>
      <c r="B17" s="37">
        <v>2</v>
      </c>
      <c r="C17" s="37">
        <v>0</v>
      </c>
      <c r="D17" s="37">
        <v>2</v>
      </c>
      <c r="E17" s="38">
        <f>IF(Horses3658924235672372345823245678234523423[[#This Row],[Runs]]=0,0,Horses3658924235672372345823245678234523423[[#This Row],[Wins]]/Horses3658924235672372345823245678234523423[[#This Row],[Runs]])</f>
        <v>0</v>
      </c>
      <c r="F17" s="38">
        <f>IF(Horses3658924235672372345823245678234523423[[#This Row],[Runs]]=0,0,Horses3658924235672372345823245678234523423[[#This Row],[Places]]/Horses3658924235672372345823245678234523423[[#This Row],[Runs]])</f>
        <v>1</v>
      </c>
      <c r="G17" s="39">
        <f>_xlfn.RANK.EQ(Horses3658924235672372345823245678234523423[[#This Row],[Wins/Run]],Horses3658924235672372345823245678234523423[Wins/Run],0)</f>
        <v>11</v>
      </c>
      <c r="H17" s="40">
        <v>0</v>
      </c>
      <c r="I17" s="40">
        <v>2137</v>
      </c>
      <c r="J17" s="40">
        <f>IF(Horses3658924235672372345823245678234523423[[#This Row],[Runs]]=0,0,SUM(Horses3658924235672372345823245678234523423[[#This Row],[total win ££]]/Horses3658924235672372345823245678234523423[[#This Row],[Runs]]))</f>
        <v>0</v>
      </c>
      <c r="K17" s="39">
        <f>_xlfn.RANK.EQ(Horses3658924235672372345823245678234523423[[#This Row],[ave ££/run]],Horses3658924235672372345823245678234523423[ave ££/run],0)</f>
        <v>11</v>
      </c>
      <c r="L17" s="15">
        <f>(G17*K17*(-1))+10*COUNTA(Horses3658924235672372345823245678234523423[Name])</f>
        <v>-1</v>
      </c>
      <c r="M17" s="41">
        <v>8</v>
      </c>
      <c r="N17" s="39">
        <f>_xlfn.RANK.EQ(Horses3658924235672372345823245678234523423[[#This Row],[last 3 ££]],Horses3658924235672372345823245678234523423[last 3 ££],0)</f>
        <v>12</v>
      </c>
      <c r="O17" s="41">
        <v>14</v>
      </c>
      <c r="P17" s="39">
        <f>_xlfn.RANK.EQ(Horses3658924235672372345823245678234523423[[#This Row],[last 3 pos]],Horses3658924235672372345823245678234523423[last 3 pos],1)</f>
        <v>9</v>
      </c>
      <c r="Q17" s="15">
        <f>(P17*N17*(-1))+10*COUNTA(Horses3658924235672372345823245678234523423[Name])</f>
        <v>12</v>
      </c>
      <c r="R17" s="41">
        <v>99</v>
      </c>
      <c r="S17" s="39">
        <f>_xlfn.RANK.EQ(Horses3658924235672372345823245678234523423[[#This Row],[Tspeed]],Horses3658924235672372345823245678234523423[Tspeed],0)</f>
        <v>5</v>
      </c>
      <c r="T17" s="42">
        <v>116</v>
      </c>
      <c r="U17" s="39">
        <f>_xlfn.RANK.EQ(Horses3658924235672372345823245678234523423[[#This Row],[RPR]],Horses3658924235672372345823245678234523423[RPR],0)</f>
        <v>8</v>
      </c>
      <c r="V17" s="15">
        <f>(S17*U17*(-1))+10*COUNTA(Horses3658924235672372345823245678234523423[Name])</f>
        <v>80</v>
      </c>
      <c r="W17" s="42">
        <v>0</v>
      </c>
      <c r="X17" s="39">
        <f>_xlfn.RANK.EQ(Horses3658924235672372345823245678234523423[[#This Row],[trip]],Horses3658924235672372345823245678234523423[trip],0)</f>
        <v>8</v>
      </c>
      <c r="Y17" s="42">
        <v>0</v>
      </c>
      <c r="Z17" s="39">
        <f>_xlfn.RANK.EQ(Horses3658924235672372345823245678234523423[[#This Row],[going]],Horses3658924235672372345823245678234523423[going],0)</f>
        <v>6</v>
      </c>
      <c r="AA17" s="15">
        <f>(X17*Z17*(-1))+10*COUNTA(Horses3658924235672372345823245678234523423[Name])</f>
        <v>72</v>
      </c>
      <c r="AB17" s="26">
        <f t="shared" si="0"/>
        <v>39.700000000000003</v>
      </c>
      <c r="AC17" s="14">
        <f>_xlfn.RANK.EQ(Horses3658924235672372345823245678234523423[[#This Row],[Rating]],Horses3658924235672372345823245678234523423[Rating],0)</f>
        <v>10</v>
      </c>
      <c r="AD17" s="28"/>
      <c r="AE17" s="28"/>
      <c r="AF17" s="28"/>
      <c r="AG17" s="28"/>
    </row>
    <row r="18" spans="1:33" x14ac:dyDescent="0.3">
      <c r="A18" t="s">
        <v>58</v>
      </c>
      <c r="B18" s="37">
        <v>7</v>
      </c>
      <c r="C18" s="37">
        <v>1</v>
      </c>
      <c r="D18" s="37">
        <v>0</v>
      </c>
      <c r="E18" s="38">
        <f>IF(Horses3658924235672372345823245678234523423[[#This Row],[Runs]]=0,0,Horses3658924235672372345823245678234523423[[#This Row],[Wins]]/Horses3658924235672372345823245678234523423[[#This Row],[Runs]])</f>
        <v>0.14285714285714285</v>
      </c>
      <c r="F18" s="38">
        <f>IF(Horses3658924235672372345823245678234523423[[#This Row],[Runs]]=0,0,Horses3658924235672372345823245678234523423[[#This Row],[Places]]/Horses3658924235672372345823245678234523423[[#This Row],[Runs]])</f>
        <v>0</v>
      </c>
      <c r="G18" s="39">
        <f>_xlfn.RANK.EQ(Horses3658924235672372345823245678234523423[[#This Row],[Wins/Run]],Horses3658924235672372345823245678234523423[Wins/Run],0)</f>
        <v>10</v>
      </c>
      <c r="H18" s="40">
        <v>3769</v>
      </c>
      <c r="I18" s="40">
        <v>350</v>
      </c>
      <c r="J18" s="40">
        <f>IF(Horses3658924235672372345823245678234523423[[#This Row],[Runs]]=0,0,SUM(Horses3658924235672372345823245678234523423[[#This Row],[total win ££]]/Horses3658924235672372345823245678234523423[[#This Row],[Runs]]))</f>
        <v>538.42857142857144</v>
      </c>
      <c r="K18" s="39">
        <f>_xlfn.RANK.EQ(Horses3658924235672372345823245678234523423[[#This Row],[ave ££/run]],Horses3658924235672372345823245678234523423[ave ££/run],0)</f>
        <v>10</v>
      </c>
      <c r="L18" s="15">
        <f>(G18*K18*(-1))+10*COUNTA(Horses3658924235672372345823245678234523423[Name])</f>
        <v>20</v>
      </c>
      <c r="M18" s="41">
        <v>11</v>
      </c>
      <c r="N18" s="39">
        <f>_xlfn.RANK.EQ(Horses3658924235672372345823245678234523423[[#This Row],[last 3 ££]],Horses3658924235672372345823245678234523423[last 3 ££],0)</f>
        <v>11</v>
      </c>
      <c r="O18" s="41">
        <v>15</v>
      </c>
      <c r="P18" s="39">
        <f>_xlfn.RANK.EQ(Horses3658924235672372345823245678234523423[[#This Row],[last 3 pos]],Horses3658924235672372345823245678234523423[last 3 pos],1)</f>
        <v>11</v>
      </c>
      <c r="Q18" s="15">
        <f>(P18*N18*(-1))+10*COUNTA(Horses3658924235672372345823245678234523423[Name])</f>
        <v>-1</v>
      </c>
      <c r="R18" s="41">
        <v>77</v>
      </c>
      <c r="S18" s="39">
        <f>_xlfn.RANK.EQ(Horses3658924235672372345823245678234523423[[#This Row],[Tspeed]],Horses3658924235672372345823245678234523423[Tspeed],0)</f>
        <v>8</v>
      </c>
      <c r="T18" s="42">
        <v>113</v>
      </c>
      <c r="U18" s="39">
        <f>_xlfn.RANK.EQ(Horses3658924235672372345823245678234523423[[#This Row],[RPR]],Horses3658924235672372345823245678234523423[RPR],0)</f>
        <v>9</v>
      </c>
      <c r="V18" s="15">
        <f>(S18*U18*(-1))+10*COUNTA(Horses3658924235672372345823245678234523423[Name])</f>
        <v>48</v>
      </c>
      <c r="W18" s="42">
        <v>33</v>
      </c>
      <c r="X18" s="39">
        <f>_xlfn.RANK.EQ(Horses3658924235672372345823245678234523423[[#This Row],[trip]],Horses3658924235672372345823245678234523423[trip],0)</f>
        <v>7</v>
      </c>
      <c r="Y18" s="42">
        <v>0</v>
      </c>
      <c r="Z18" s="39">
        <f>_xlfn.RANK.EQ(Horses3658924235672372345823245678234523423[[#This Row],[going]],Horses3658924235672372345823245678234523423[going],0)</f>
        <v>6</v>
      </c>
      <c r="AA18" s="15">
        <f>(X18*Z18*(-1))+10*COUNTA(Horses3658924235672372345823245678234523423[Name])</f>
        <v>78</v>
      </c>
      <c r="AB18" s="26">
        <f t="shared" si="0"/>
        <v>38.799999999999997</v>
      </c>
      <c r="AC18" s="14">
        <f>_xlfn.RANK.EQ(Horses3658924235672372345823245678234523423[[#This Row],[Rating]],Horses3658924235672372345823245678234523423[Rating],0)</f>
        <v>11</v>
      </c>
      <c r="AD18" s="28"/>
      <c r="AE18" s="28"/>
      <c r="AF18" s="28"/>
      <c r="AG18" s="28"/>
    </row>
    <row r="19" spans="1:33" x14ac:dyDescent="0.3">
      <c r="A19" t="s">
        <v>59</v>
      </c>
      <c r="B19" s="37">
        <v>9</v>
      </c>
      <c r="C19" s="37">
        <v>0</v>
      </c>
      <c r="D19" s="37">
        <v>3</v>
      </c>
      <c r="E19" s="38">
        <f>IF(Horses3658924235672372345823245678234523423[[#This Row],[Runs]]=0,0,Horses3658924235672372345823245678234523423[[#This Row],[Wins]]/Horses3658924235672372345823245678234523423[[#This Row],[Runs]])</f>
        <v>0</v>
      </c>
      <c r="F19" s="38">
        <f>IF(Horses3658924235672372345823245678234523423[[#This Row],[Runs]]=0,0,Horses3658924235672372345823245678234523423[[#This Row],[Places]]/Horses3658924235672372345823245678234523423[[#This Row],[Runs]])</f>
        <v>0.33333333333333331</v>
      </c>
      <c r="G19" s="39">
        <f>_xlfn.RANK.EQ(Horses3658924235672372345823245678234523423[[#This Row],[Wins/Run]],Horses3658924235672372345823245678234523423[Wins/Run],0)</f>
        <v>11</v>
      </c>
      <c r="H19" s="40">
        <v>0</v>
      </c>
      <c r="I19" s="40">
        <v>2948</v>
      </c>
      <c r="J19" s="40">
        <f>IF(Horses3658924235672372345823245678234523423[[#This Row],[Runs]]=0,0,SUM(Horses3658924235672372345823245678234523423[[#This Row],[total win ££]]/Horses3658924235672372345823245678234523423[[#This Row],[Runs]]))</f>
        <v>0</v>
      </c>
      <c r="K19" s="39">
        <f>_xlfn.RANK.EQ(Horses3658924235672372345823245678234523423[[#This Row],[ave ££/run]],Horses3658924235672372345823245678234523423[ave ££/run],0)</f>
        <v>11</v>
      </c>
      <c r="L19" s="15">
        <f>(G19*K19*(-1))+10*COUNTA(Horses3658924235672372345823245678234523423[Name])</f>
        <v>-1</v>
      </c>
      <c r="M19" s="41">
        <v>12</v>
      </c>
      <c r="N19" s="39">
        <f>_xlfn.RANK.EQ(Horses3658924235672372345823245678234523423[[#This Row],[last 3 ££]],Horses3658924235672372345823245678234523423[last 3 ££],0)</f>
        <v>9</v>
      </c>
      <c r="O19" s="41">
        <v>15</v>
      </c>
      <c r="P19" s="39">
        <f>_xlfn.RANK.EQ(Horses3658924235672372345823245678234523423[[#This Row],[last 3 pos]],Horses3658924235672372345823245678234523423[last 3 pos],1)</f>
        <v>11</v>
      </c>
      <c r="Q19" s="15">
        <f>(P19*N19*(-1))+10*COUNTA(Horses3658924235672372345823245678234523423[Name])</f>
        <v>21</v>
      </c>
      <c r="R19" s="41">
        <v>87</v>
      </c>
      <c r="S19" s="39">
        <f>_xlfn.RANK.EQ(Horses3658924235672372345823245678234523423[[#This Row],[Tspeed]],Horses3658924235672372345823245678234523423[Tspeed],0)</f>
        <v>7</v>
      </c>
      <c r="T19" s="42">
        <v>110</v>
      </c>
      <c r="U19" s="39">
        <f>_xlfn.RANK.EQ(Horses3658924235672372345823245678234523423[[#This Row],[RPR]],Horses3658924235672372345823245678234523423[RPR],0)</f>
        <v>11</v>
      </c>
      <c r="V19" s="15">
        <f>(S19*U19*(-1))+10*COUNTA(Horses3658924235672372345823245678234523423[Name])</f>
        <v>43</v>
      </c>
      <c r="W19" s="42">
        <v>0</v>
      </c>
      <c r="X19" s="39">
        <f>_xlfn.RANK.EQ(Horses3658924235672372345823245678234523423[[#This Row],[trip]],Horses3658924235672372345823245678234523423[trip],0)</f>
        <v>8</v>
      </c>
      <c r="Y19" s="42">
        <v>0</v>
      </c>
      <c r="Z19" s="39">
        <f>_xlfn.RANK.EQ(Horses3658924235672372345823245678234523423[[#This Row],[going]],Horses3658924235672372345823245678234523423[going],0)</f>
        <v>6</v>
      </c>
      <c r="AA19" s="15">
        <f>(X19*Z19*(-1))+10*COUNTA(Horses3658924235672372345823245678234523423[Name])</f>
        <v>72</v>
      </c>
      <c r="AB19" s="26">
        <f t="shared" si="0"/>
        <v>34.099999999999994</v>
      </c>
      <c r="AC19" s="14">
        <f>_xlfn.RANK.EQ(Horses3658924235672372345823245678234523423[[#This Row],[Rating]],Horses3658924235672372345823245678234523423[Rating],0)</f>
        <v>12</v>
      </c>
      <c r="AD19" s="28"/>
      <c r="AE19" s="28"/>
      <c r="AF19" s="28"/>
      <c r="AG19" s="28"/>
    </row>
  </sheetData>
  <conditionalFormatting sqref="G8:G19 K8:K19 N8:N19 P8:P19 S8:S19 U8:U19 X8:X19 Z8:Z19 AC8:AC19">
    <cfRule type="cellIs" dxfId="107" priority="1" operator="lessThanOrEqual">
      <formula>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SortByResult1">
                <anchor moveWithCells="1" sizeWithCells="1">
                  <from>
                    <xdr:col>11</xdr:col>
                    <xdr:colOff>0</xdr:colOff>
                    <xdr:row>3</xdr:row>
                    <xdr:rowOff>190500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SortByResult2">
                <anchor moveWithCells="1" sizeWithCells="1">
                  <from>
                    <xdr:col>16</xdr:col>
                    <xdr:colOff>0</xdr:colOff>
                    <xdr:row>3</xdr:row>
                    <xdr:rowOff>190500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SortByResult3">
                <anchor moveWithCells="1" sizeWithCells="1">
                  <from>
                    <xdr:col>21</xdr:col>
                    <xdr:colOff>0</xdr:colOff>
                    <xdr:row>3</xdr:row>
                    <xdr:rowOff>190500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SortByResult4">
                <anchor moveWithCells="1" sizeWithCells="1">
                  <from>
                    <xdr:col>26</xdr:col>
                    <xdr:colOff>0</xdr:colOff>
                    <xdr:row>3</xdr:row>
                    <xdr:rowOff>190500</xdr:rowOff>
                  </from>
                  <to>
                    <xdr:col>27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SortByRating">
                <anchor moveWithCells="1" sizeWithCells="1">
                  <from>
                    <xdr:col>27</xdr:col>
                    <xdr:colOff>0</xdr:colOff>
                    <xdr:row>3</xdr:row>
                    <xdr:rowOff>190500</xdr:rowOff>
                  </from>
                  <to>
                    <xdr:col>28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SortByResult1">
                <anchor moveWithCells="1" sizeWithCells="1">
                  <from>
                    <xdr:col>11</xdr:col>
                    <xdr:colOff>0</xdr:colOff>
                    <xdr:row>3</xdr:row>
                    <xdr:rowOff>190500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SortByResult2">
                <anchor moveWithCells="1" sizeWithCells="1">
                  <from>
                    <xdr:col>16</xdr:col>
                    <xdr:colOff>0</xdr:colOff>
                    <xdr:row>3</xdr:row>
                    <xdr:rowOff>190500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SortByResult3">
                <anchor moveWithCells="1" sizeWithCells="1">
                  <from>
                    <xdr:col>21</xdr:col>
                    <xdr:colOff>0</xdr:colOff>
                    <xdr:row>3</xdr:row>
                    <xdr:rowOff>190500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SortByResult4">
                <anchor moveWithCells="1" sizeWithCells="1">
                  <from>
                    <xdr:col>26</xdr:col>
                    <xdr:colOff>0</xdr:colOff>
                    <xdr:row>3</xdr:row>
                    <xdr:rowOff>190500</xdr:rowOff>
                  </from>
                  <to>
                    <xdr:col>27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SortByRating">
                <anchor moveWithCells="1" sizeWithCells="1">
                  <from>
                    <xdr:col>27</xdr:col>
                    <xdr:colOff>0</xdr:colOff>
                    <xdr:row>3</xdr:row>
                    <xdr:rowOff>190500</xdr:rowOff>
                  </from>
                  <to>
                    <xdr:col>28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7" r:id="rId14" name="Botón 13">
              <controlPr defaultSize="0" print="0" autoFill="0" autoPict="0" macro="[0]!Tidyup.tidyup">
                <anchor moveWithCells="1" sizeWithCells="1">
                  <from>
                    <xdr:col>11</xdr:col>
                    <xdr:colOff>0</xdr:colOff>
                    <xdr:row>1</xdr:row>
                    <xdr:rowOff>83820</xdr:rowOff>
                  </from>
                  <to>
                    <xdr:col>12</xdr:col>
                    <xdr:colOff>579120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5"/>
  <dimension ref="A1:AG26"/>
  <sheetViews>
    <sheetView tabSelected="1" zoomScaleNormal="100" workbookViewId="0">
      <pane xSplit="1" topLeftCell="B1" activePane="topRight" state="frozen"/>
      <selection activeCell="O20" sqref="O20"/>
      <selection pane="topRight" activeCell="A7" sqref="A7"/>
    </sheetView>
  </sheetViews>
  <sheetFormatPr defaultColWidth="10" defaultRowHeight="14.4" x14ac:dyDescent="0.3"/>
  <cols>
    <col min="1" max="1" width="23.5546875" style="41" customWidth="1"/>
    <col min="2" max="2" width="13.44140625" style="4" customWidth="1"/>
    <col min="3" max="3" width="7.5546875" style="4" customWidth="1"/>
    <col min="4" max="4" width="12.109375" style="4" customWidth="1"/>
    <col min="5" max="5" width="11.44140625" style="4" bestFit="1" customWidth="1"/>
    <col min="6" max="6" width="8.44140625" style="4" customWidth="1"/>
    <col min="7" max="7" width="8.6640625" style="16" bestFit="1" customWidth="1"/>
    <col min="8" max="10" width="10" style="4" customWidth="1"/>
    <col min="11" max="11" width="8.109375" style="16" bestFit="1" customWidth="1"/>
    <col min="12" max="12" width="10" style="4" customWidth="1"/>
    <col min="13" max="13" width="8.44140625" style="4" customWidth="1"/>
    <col min="14" max="14" width="7.5546875" style="16" customWidth="1"/>
    <col min="15" max="15" width="8.44140625" style="17" customWidth="1"/>
    <col min="16" max="16" width="7.5546875" style="4" customWidth="1"/>
    <col min="17" max="17" width="10.109375" style="4" customWidth="1"/>
    <col min="18" max="18" width="8.44140625" style="4" customWidth="1"/>
    <col min="19" max="19" width="8.88671875" style="4" bestFit="1" customWidth="1"/>
    <col min="20" max="20" width="8.44140625" style="4" customWidth="1"/>
    <col min="21" max="21" width="7.5546875" style="4" customWidth="1"/>
    <col min="22" max="22" width="10" style="4" customWidth="1"/>
    <col min="23" max="23" width="8.44140625" style="18" customWidth="1"/>
    <col min="24" max="24" width="7.5546875" style="18" customWidth="1"/>
    <col min="25" max="25" width="8.44140625" style="18" customWidth="1"/>
    <col min="26" max="26" width="7.5546875" style="4" customWidth="1"/>
    <col min="27" max="27" width="10" style="4" customWidth="1"/>
    <col min="28" max="28" width="10" style="41" customWidth="1"/>
    <col min="29" max="29" width="7.5546875" style="4" customWidth="1"/>
    <col min="30" max="30" width="10" style="4" customWidth="1"/>
    <col min="31" max="16384" width="10" style="4"/>
  </cols>
  <sheetData>
    <row r="1" spans="1:33" x14ac:dyDescent="0.3">
      <c r="A1" s="30" t="s">
        <v>0</v>
      </c>
      <c r="B1" s="30" t="s">
        <v>60</v>
      </c>
      <c r="C1" s="30"/>
      <c r="D1" s="23"/>
      <c r="E1" s="1"/>
      <c r="F1" s="1"/>
      <c r="G1" s="2"/>
      <c r="H1" s="40"/>
      <c r="I1" s="40"/>
      <c r="J1" s="40"/>
      <c r="K1" s="3"/>
      <c r="L1" s="42"/>
      <c r="M1" s="41"/>
      <c r="O1" s="41"/>
      <c r="Q1" s="41"/>
      <c r="R1" s="41"/>
      <c r="S1" s="41"/>
      <c r="T1" s="41"/>
      <c r="U1" s="41"/>
      <c r="V1" s="42"/>
      <c r="W1" s="42"/>
      <c r="X1" s="42"/>
      <c r="Y1" s="42"/>
      <c r="Z1" s="42"/>
      <c r="AA1" s="41"/>
      <c r="AB1" s="4"/>
      <c r="AC1" s="5"/>
    </row>
    <row r="2" spans="1:33" x14ac:dyDescent="0.3">
      <c r="A2" s="30" t="s">
        <v>2</v>
      </c>
      <c r="B2" s="30" t="s">
        <v>61</v>
      </c>
      <c r="C2" s="24"/>
      <c r="D2" s="24"/>
      <c r="E2" s="1"/>
      <c r="F2" s="1"/>
      <c r="G2" s="40"/>
      <c r="H2" s="40"/>
      <c r="I2" s="40"/>
      <c r="J2" s="6"/>
      <c r="K2" s="6"/>
      <c r="L2" s="22"/>
      <c r="N2" s="4"/>
      <c r="O2" s="4"/>
      <c r="S2" s="41"/>
      <c r="T2" s="41"/>
      <c r="U2" s="41"/>
      <c r="V2" s="42"/>
      <c r="W2" s="42"/>
      <c r="X2" s="42"/>
      <c r="Y2" s="42"/>
      <c r="Z2" s="42"/>
      <c r="AA2" s="41"/>
      <c r="AB2" s="4"/>
      <c r="AC2" s="5"/>
    </row>
    <row r="3" spans="1:33" x14ac:dyDescent="0.3">
      <c r="A3" s="30" t="s">
        <v>4</v>
      </c>
      <c r="B3" s="2" t="s">
        <v>62</v>
      </c>
      <c r="C3" s="30"/>
      <c r="D3" s="30"/>
      <c r="E3" s="1"/>
      <c r="F3" s="1"/>
      <c r="G3" s="40"/>
      <c r="H3" s="40"/>
      <c r="I3" s="40"/>
      <c r="J3" s="40"/>
      <c r="K3" s="3"/>
      <c r="L3" s="42"/>
      <c r="M3" s="41"/>
      <c r="N3" s="3"/>
      <c r="O3" s="41"/>
      <c r="P3" s="41"/>
      <c r="Q3" s="41"/>
      <c r="R3" s="41"/>
      <c r="S3" s="41"/>
      <c r="T3" s="41"/>
      <c r="U3" s="41"/>
      <c r="V3" s="42"/>
      <c r="W3" s="42"/>
      <c r="X3" s="42"/>
      <c r="Y3" s="42"/>
      <c r="Z3" s="42"/>
      <c r="AA3" s="41"/>
      <c r="AB3" s="4"/>
      <c r="AC3" s="5"/>
    </row>
    <row r="4" spans="1:33" x14ac:dyDescent="0.3">
      <c r="A4" s="30" t="s">
        <v>6</v>
      </c>
      <c r="B4" s="21" t="s">
        <v>63</v>
      </c>
      <c r="C4" s="30"/>
      <c r="D4" s="30"/>
      <c r="E4" s="7"/>
      <c r="F4" s="7"/>
      <c r="G4" s="20" t="s">
        <v>8</v>
      </c>
      <c r="H4" s="40"/>
      <c r="I4" s="19" t="str">
        <f>IF(SUM(L4,Q4,V4,AA4)=1,"","SUM OF WEIGHTS IS NOT 100%")</f>
        <v/>
      </c>
      <c r="J4" s="40"/>
      <c r="K4" s="3"/>
      <c r="L4" s="8">
        <v>0.3</v>
      </c>
      <c r="M4" s="41"/>
      <c r="N4" s="3"/>
      <c r="O4" s="41"/>
      <c r="P4" s="41"/>
      <c r="Q4" s="8">
        <v>0.2</v>
      </c>
      <c r="R4" s="41"/>
      <c r="S4" s="41"/>
      <c r="T4" s="41"/>
      <c r="U4" s="41"/>
      <c r="V4" s="8">
        <v>0.2</v>
      </c>
      <c r="W4" s="42"/>
      <c r="X4" s="42"/>
      <c r="Y4" s="42"/>
      <c r="Z4" s="42"/>
      <c r="AA4" s="8">
        <v>0.3</v>
      </c>
      <c r="AB4" s="4"/>
      <c r="AC4" s="5"/>
    </row>
    <row r="5" spans="1:33" x14ac:dyDescent="0.3">
      <c r="A5" s="30"/>
      <c r="B5" s="31" t="s">
        <v>64</v>
      </c>
      <c r="C5" s="30" t="s">
        <v>10</v>
      </c>
      <c r="D5" s="30"/>
      <c r="E5" s="29"/>
      <c r="F5" s="1"/>
      <c r="G5" s="9"/>
      <c r="H5" s="40"/>
      <c r="I5" s="40"/>
      <c r="J5" s="40"/>
      <c r="K5" s="3"/>
      <c r="L5" s="38"/>
      <c r="M5" s="41"/>
      <c r="N5" s="3"/>
      <c r="O5" s="41"/>
      <c r="P5" s="41"/>
      <c r="Q5" s="41"/>
      <c r="R5" s="41"/>
      <c r="S5" s="41"/>
      <c r="T5" s="41"/>
      <c r="U5" s="41"/>
      <c r="V5" s="42"/>
      <c r="W5" s="42"/>
      <c r="X5" s="42"/>
      <c r="Y5" s="42"/>
      <c r="Z5" s="42"/>
      <c r="AA5" s="41"/>
      <c r="AB5" s="4"/>
      <c r="AC5" s="5"/>
    </row>
    <row r="6" spans="1:33" s="30" customFormat="1" x14ac:dyDescent="0.3">
      <c r="B6" s="27"/>
      <c r="G6" s="9"/>
      <c r="K6" s="9"/>
      <c r="L6" s="10" t="s">
        <v>11</v>
      </c>
      <c r="N6" s="9"/>
      <c r="Q6" s="10" t="s">
        <v>12</v>
      </c>
      <c r="V6" s="10" t="s">
        <v>13</v>
      </c>
      <c r="W6" s="11"/>
      <c r="X6" s="11"/>
      <c r="AA6" s="10" t="s">
        <v>14</v>
      </c>
      <c r="AB6" s="10" t="s">
        <v>15</v>
      </c>
    </row>
    <row r="7" spans="1:33" ht="15.6" customHeight="1" x14ac:dyDescent="0.3">
      <c r="A7" s="30" t="s">
        <v>16</v>
      </c>
      <c r="B7" s="30" t="s">
        <v>17</v>
      </c>
      <c r="C7" s="30" t="s">
        <v>18</v>
      </c>
      <c r="D7" s="30" t="s">
        <v>19</v>
      </c>
      <c r="E7" s="30" t="s">
        <v>20</v>
      </c>
      <c r="F7" s="30" t="s">
        <v>21</v>
      </c>
      <c r="G7" s="12" t="s">
        <v>22</v>
      </c>
      <c r="H7" s="30" t="s">
        <v>23</v>
      </c>
      <c r="I7" s="30" t="s">
        <v>24</v>
      </c>
      <c r="J7" s="30" t="s">
        <v>25</v>
      </c>
      <c r="K7" s="12" t="s">
        <v>26</v>
      </c>
      <c r="L7" s="25" t="s">
        <v>27</v>
      </c>
      <c r="M7" s="30" t="s">
        <v>28</v>
      </c>
      <c r="N7" s="12" t="s">
        <v>29</v>
      </c>
      <c r="O7" s="30" t="s">
        <v>30</v>
      </c>
      <c r="P7" s="12" t="s">
        <v>31</v>
      </c>
      <c r="Q7" s="26" t="s">
        <v>32</v>
      </c>
      <c r="R7" s="30" t="s">
        <v>33</v>
      </c>
      <c r="S7" s="12" t="s">
        <v>34</v>
      </c>
      <c r="T7" s="30" t="s">
        <v>35</v>
      </c>
      <c r="U7" s="12" t="s">
        <v>36</v>
      </c>
      <c r="V7" s="13" t="s">
        <v>37</v>
      </c>
      <c r="W7" s="11" t="s">
        <v>38</v>
      </c>
      <c r="X7" s="12" t="s">
        <v>39</v>
      </c>
      <c r="Y7" s="11" t="s">
        <v>40</v>
      </c>
      <c r="Z7" s="12" t="s">
        <v>41</v>
      </c>
      <c r="AA7" s="10" t="s">
        <v>42</v>
      </c>
      <c r="AB7" s="13" t="s">
        <v>43</v>
      </c>
      <c r="AC7" s="14" t="s">
        <v>44</v>
      </c>
      <c r="AD7" s="41" t="s">
        <v>45</v>
      </c>
      <c r="AE7" s="41" t="s">
        <v>46</v>
      </c>
      <c r="AF7" s="41" t="s">
        <v>12</v>
      </c>
      <c r="AG7" s="41" t="s">
        <v>47</v>
      </c>
    </row>
    <row r="8" spans="1:33" x14ac:dyDescent="0.3">
      <c r="A8" t="s">
        <v>65</v>
      </c>
      <c r="B8" s="37" t="s">
        <v>66</v>
      </c>
      <c r="C8" s="37" t="s">
        <v>67</v>
      </c>
      <c r="D8" s="37">
        <v>3</v>
      </c>
      <c r="E8" s="38">
        <f>IF(Horses3658924235672372345823245678234523425[[#This Row],[Runs]]=0,0,Horses3658924235672372345823245678234523425[[#This Row],[Wins]]/Horses3658924235672372345823245678234523425[[#This Row],[Runs]])</f>
        <v>0.2</v>
      </c>
      <c r="F8" s="38">
        <f>IF(Horses3658924235672372345823245678234523425[[#This Row],[Runs]]=0,0,Horses3658924235672372345823245678234523425[[#This Row],[Places]]/Horses3658924235672372345823245678234523425[[#This Row],[Runs]])</f>
        <v>0.3</v>
      </c>
      <c r="G8" s="39">
        <f>_xlfn.RANK.EQ(Horses3658924235672372345823245678234523425[[#This Row],[Wins/Run]],Horses3658924235672372345823245678234523425[Wins/Run],0)</f>
        <v>1</v>
      </c>
      <c r="H8" s="40">
        <v>6735</v>
      </c>
      <c r="I8" s="40" t="s">
        <v>68</v>
      </c>
      <c r="J8" s="40">
        <f>IF(Horses3658924235672372345823245678234523425[[#This Row],[Runs]]=0,0,SUM(Horses3658924235672372345823245678234523425[[#This Row],[total win ££]]/Horses3658924235672372345823245678234523425[[#This Row],[Runs]]))</f>
        <v>673.5</v>
      </c>
      <c r="K8" s="39">
        <f>_xlfn.RANK.EQ(Horses3658924235672372345823245678234523425[[#This Row],[ave ££/run]],Horses3658924235672372345823245678234523425[ave ££/run],0)</f>
        <v>1</v>
      </c>
      <c r="L8" s="15">
        <f>(G8*K8*(-1))+10*COUNTA(Horses3658924235672372345823245678234523425[Name])</f>
        <v>69</v>
      </c>
      <c r="M8" s="41">
        <v>10</v>
      </c>
      <c r="N8" s="39">
        <f>_xlfn.RANK.EQ(Horses3658924235672372345823245678234523425[[#This Row],[last 3 ££]],Horses3658924235672372345823245678234523425[last 3 ££],0)</f>
        <v>1</v>
      </c>
      <c r="O8" s="41">
        <v>10</v>
      </c>
      <c r="P8" s="39">
        <f>_xlfn.RANK.EQ(Horses3658924235672372345823245678234523425[[#This Row],[last 3 pos]],Horses3658924235672372345823245678234523425[last 3 pos],1)</f>
        <v>1</v>
      </c>
      <c r="Q8" s="45">
        <f>(P8*N8*(-1))+10*COUNTA(Horses3658924235672372345823245678234523425[Name])</f>
        <v>69</v>
      </c>
      <c r="R8" s="41">
        <v>39</v>
      </c>
      <c r="S8" s="39">
        <f>_xlfn.RANK.EQ(Horses3658924235672372345823245678234523425[[#This Row],[Tspeed]],Horses3658924235672372345823245678234523425[Tspeed],0)</f>
        <v>5</v>
      </c>
      <c r="T8" s="42">
        <v>83</v>
      </c>
      <c r="U8" s="39">
        <f>_xlfn.RANK.EQ(Horses3658924235672372345823245678234523425[[#This Row],[RPR]],Horses3658924235672372345823245678234523425[RPR],0)</f>
        <v>1</v>
      </c>
      <c r="V8" s="15">
        <f>(S8*U8*(-1))+10*COUNTA(Horses3658924235672372345823245678234523425[Name])</f>
        <v>65</v>
      </c>
      <c r="W8" s="42">
        <v>0</v>
      </c>
      <c r="X8" s="39">
        <f>_xlfn.RANK.EQ(Horses3658924235672372345823245678234523425[[#This Row],[trip]],Horses3658924235672372345823245678234523425[trip],0)</f>
        <v>1</v>
      </c>
      <c r="Y8" s="42">
        <v>0</v>
      </c>
      <c r="Z8" s="39">
        <f>_xlfn.RANK.EQ(Horses3658924235672372345823245678234523425[[#This Row],[going]],Horses3658924235672372345823245678234523425[going],0)</f>
        <v>1</v>
      </c>
      <c r="AA8" s="15">
        <f>(X8*Z8*(-1))+10*COUNTA(Horses3658924235672372345823245678234523425[Name])</f>
        <v>69</v>
      </c>
      <c r="AB8" s="13">
        <f>SUM(L8*$L$4)+(Q8*$Q$4)+(V8*$V$4)+(AA8*$AA$4)</f>
        <v>68.2</v>
      </c>
      <c r="AC8" s="14">
        <f>_xlfn.RANK.EQ(Horses3658924235672372345823245678234523425[[#This Row],[Rating]],Horses3658924235672372345823245678234523425[Rating],0)</f>
        <v>1</v>
      </c>
      <c r="AD8" s="28"/>
      <c r="AE8" s="28"/>
      <c r="AF8" s="28"/>
      <c r="AG8" s="28"/>
    </row>
    <row r="9" spans="1:33" x14ac:dyDescent="0.3">
      <c r="A9" t="s">
        <v>82</v>
      </c>
      <c r="B9" s="37" t="s">
        <v>83</v>
      </c>
      <c r="C9" s="37" t="s">
        <v>75</v>
      </c>
      <c r="D9" s="37">
        <v>0</v>
      </c>
      <c r="E9" s="38">
        <f>IF(Horses3658924235672372345823245678234523425[[#This Row],[Runs]]=0,0,Horses3658924235672372345823245678234523425[[#This Row],[Wins]]/Horses3658924235672372345823245678234523425[[#This Row],[Runs]])</f>
        <v>0</v>
      </c>
      <c r="F9" s="38">
        <f>IF(Horses3658924235672372345823245678234523425[[#This Row],[Runs]]=0,0,Horses3658924235672372345823245678234523425[[#This Row],[Places]]/Horses3658924235672372345823245678234523425[[#This Row],[Runs]])</f>
        <v>0</v>
      </c>
      <c r="G9" s="39">
        <f>_xlfn.RANK.EQ(Horses3658924235672372345823245678234523425[[#This Row],[Wins/Run]],Horses3658924235672372345823245678234523425[Wins/Run],0)</f>
        <v>3</v>
      </c>
      <c r="H9" s="40">
        <v>0</v>
      </c>
      <c r="I9" s="40" t="s">
        <v>84</v>
      </c>
      <c r="J9" s="40">
        <f>IF(Horses3658924235672372345823245678234523425[[#This Row],[Runs]]=0,0,SUM(Horses3658924235672372345823245678234523425[[#This Row],[total win ££]]/Horses3658924235672372345823245678234523425[[#This Row],[Runs]]))</f>
        <v>0</v>
      </c>
      <c r="K9" s="39">
        <f>_xlfn.RANK.EQ(Horses3658924235672372345823245678234523425[[#This Row],[ave ££/run]],Horses3658924235672372345823245678234523425[ave ££/run],0)</f>
        <v>3</v>
      </c>
      <c r="L9" s="15">
        <f>(G9*K9*(-1))+10*COUNTA(Horses3658924235672372345823245678234523425[Name])</f>
        <v>61</v>
      </c>
      <c r="M9" s="41">
        <v>9</v>
      </c>
      <c r="N9" s="39">
        <f>_xlfn.RANK.EQ(Horses3658924235672372345823245678234523425[[#This Row],[last 3 ££]],Horses3658924235672372345823245678234523425[last 3 ££],0)</f>
        <v>2</v>
      </c>
      <c r="O9" s="41">
        <v>13</v>
      </c>
      <c r="P9" s="39">
        <f>_xlfn.RANK.EQ(Horses3658924235672372345823245678234523425[[#This Row],[last 3 pos]],Horses3658924235672372345823245678234523425[last 3 pos],1)</f>
        <v>2</v>
      </c>
      <c r="Q9" s="45">
        <f>(P9*N9*(-1))+10*COUNTA(Horses3658924235672372345823245678234523425[Name])</f>
        <v>66</v>
      </c>
      <c r="R9" s="41">
        <v>65</v>
      </c>
      <c r="S9" s="39">
        <f>_xlfn.RANK.EQ(Horses3658924235672372345823245678234523425[[#This Row],[Tspeed]],Horses3658924235672372345823245678234523425[Tspeed],0)</f>
        <v>2</v>
      </c>
      <c r="T9" s="42">
        <v>81</v>
      </c>
      <c r="U9" s="39">
        <f>_xlfn.RANK.EQ(Horses3658924235672372345823245678234523425[[#This Row],[RPR]],Horses3658924235672372345823245678234523425[RPR],0)</f>
        <v>3</v>
      </c>
      <c r="V9" s="15">
        <f>(S9*U9*(-1))+10*COUNTA(Horses3658924235672372345823245678234523425[Name])</f>
        <v>64</v>
      </c>
      <c r="W9" s="42">
        <v>0</v>
      </c>
      <c r="X9" s="39">
        <f>_xlfn.RANK.EQ(Horses3658924235672372345823245678234523425[[#This Row],[trip]],Horses3658924235672372345823245678234523425[trip],0)</f>
        <v>1</v>
      </c>
      <c r="Y9" s="42">
        <v>0</v>
      </c>
      <c r="Z9" s="39">
        <f>_xlfn.RANK.EQ(Horses3658924235672372345823245678234523425[[#This Row],[going]],Horses3658924235672372345823245678234523425[going],0)</f>
        <v>1</v>
      </c>
      <c r="AA9" s="15">
        <f>(X9*Z9*(-1))+10*COUNTA(Horses3658924235672372345823245678234523425[Name])</f>
        <v>69</v>
      </c>
      <c r="AB9" s="13">
        <f>SUM(L9*$L$4)+(Q9*$Q$4)+(V9*$V$4)+(AA9*$AA$4)</f>
        <v>65</v>
      </c>
      <c r="AC9" s="14">
        <f>_xlfn.RANK.EQ(Horses3658924235672372345823245678234523425[[#This Row],[Rating]],Horses3658924235672372345823245678234523425[Rating],0)</f>
        <v>2</v>
      </c>
      <c r="AD9" s="28"/>
      <c r="AE9" s="28"/>
      <c r="AF9" s="28"/>
      <c r="AG9" s="28"/>
    </row>
    <row r="10" spans="1:33" x14ac:dyDescent="0.3">
      <c r="A10" t="s">
        <v>73</v>
      </c>
      <c r="B10" s="37" t="s">
        <v>74</v>
      </c>
      <c r="C10" s="37" t="s">
        <v>75</v>
      </c>
      <c r="D10" s="37">
        <v>2</v>
      </c>
      <c r="E10" s="38">
        <f>IF(Horses3658924235672372345823245678234523425[[#This Row],[Runs]]=0,0,Horses3658924235672372345823245678234523425[[#This Row],[Wins]]/Horses3658924235672372345823245678234523425[[#This Row],[Runs]])</f>
        <v>0</v>
      </c>
      <c r="F10" s="38">
        <f>IF(Horses3658924235672372345823245678234523425[[#This Row],[Runs]]=0,0,Horses3658924235672372345823245678234523425[[#This Row],[Places]]/Horses3658924235672372345823245678234523425[[#This Row],[Runs]])</f>
        <v>0.22222222222222221</v>
      </c>
      <c r="G10" s="39">
        <f>_xlfn.RANK.EQ(Horses3658924235672372345823245678234523425[[#This Row],[Wins/Run]],Horses3658924235672372345823245678234523425[Wins/Run],0)</f>
        <v>3</v>
      </c>
      <c r="H10" s="40">
        <v>0</v>
      </c>
      <c r="I10" s="40" t="s">
        <v>76</v>
      </c>
      <c r="J10" s="40">
        <f>IF(Horses3658924235672372345823245678234523425[[#This Row],[Runs]]=0,0,SUM(Horses3658924235672372345823245678234523425[[#This Row],[total win ££]]/Horses3658924235672372345823245678234523425[[#This Row],[Runs]]))</f>
        <v>0</v>
      </c>
      <c r="K10" s="39">
        <f>_xlfn.RANK.EQ(Horses3658924235672372345823245678234523425[[#This Row],[ave ££/run]],Horses3658924235672372345823245678234523425[ave ££/run],0)</f>
        <v>3</v>
      </c>
      <c r="L10" s="15">
        <f>(G10*K10*(-1))+10*COUNTA(Horses3658924235672372345823245678234523425[Name])</f>
        <v>61</v>
      </c>
      <c r="M10" s="41">
        <v>9</v>
      </c>
      <c r="N10" s="39">
        <f>_xlfn.RANK.EQ(Horses3658924235672372345823245678234523425[[#This Row],[last 3 ££]],Horses3658924235672372345823245678234523425[last 3 ££],0)</f>
        <v>2</v>
      </c>
      <c r="O10" s="41">
        <v>25</v>
      </c>
      <c r="P10" s="39">
        <f>_xlfn.RANK.EQ(Horses3658924235672372345823245678234523425[[#This Row],[last 3 pos]],Horses3658924235672372345823245678234523425[last 3 pos],1)</f>
        <v>5</v>
      </c>
      <c r="Q10" s="45">
        <f>(P10*N10*(-1))+10*COUNTA(Horses3658924235672372345823245678234523425[Name])</f>
        <v>60</v>
      </c>
      <c r="R10" s="41">
        <v>49</v>
      </c>
      <c r="S10" s="39">
        <f>_xlfn.RANK.EQ(Horses3658924235672372345823245678234523425[[#This Row],[Tspeed]],Horses3658924235672372345823245678234523425[Tspeed],0)</f>
        <v>4</v>
      </c>
      <c r="T10" s="42">
        <v>76</v>
      </c>
      <c r="U10" s="39">
        <f>_xlfn.RANK.EQ(Horses3658924235672372345823245678234523425[[#This Row],[RPR]],Horses3658924235672372345823245678234523425[RPR],0)</f>
        <v>5</v>
      </c>
      <c r="V10" s="15">
        <f>(S10*U10*(-1))+10*COUNTA(Horses3658924235672372345823245678234523425[Name])</f>
        <v>50</v>
      </c>
      <c r="W10" s="42">
        <v>0</v>
      </c>
      <c r="X10" s="39">
        <f>_xlfn.RANK.EQ(Horses3658924235672372345823245678234523425[[#This Row],[trip]],Horses3658924235672372345823245678234523425[trip],0)</f>
        <v>1</v>
      </c>
      <c r="Y10" s="42">
        <v>0</v>
      </c>
      <c r="Z10" s="39">
        <f>_xlfn.RANK.EQ(Horses3658924235672372345823245678234523425[[#This Row],[going]],Horses3658924235672372345823245678234523425[going],0)</f>
        <v>1</v>
      </c>
      <c r="AA10" s="15">
        <f>(X10*Z10*(-1))+10*COUNTA(Horses3658924235672372345823245678234523425[Name])</f>
        <v>69</v>
      </c>
      <c r="AB10" s="13">
        <f>SUM(L10*$L$4)+(Q10*$Q$4)+(V10*$V$4)+(AA10*$AA$4)</f>
        <v>61</v>
      </c>
      <c r="AC10" s="14">
        <f>_xlfn.RANK.EQ(Horses3658924235672372345823245678234523425[[#This Row],[Rating]],Horses3658924235672372345823245678234523425[Rating],0)</f>
        <v>5</v>
      </c>
      <c r="AD10" s="28"/>
      <c r="AE10" s="28"/>
      <c r="AF10" s="28"/>
      <c r="AG10" s="28"/>
    </row>
    <row r="11" spans="1:33" x14ac:dyDescent="0.3">
      <c r="A11" t="s">
        <v>79</v>
      </c>
      <c r="B11" s="37" t="s">
        <v>80</v>
      </c>
      <c r="C11" s="37" t="s">
        <v>75</v>
      </c>
      <c r="D11" s="37">
        <v>0</v>
      </c>
      <c r="E11" s="38">
        <f>IF(Horses3658924235672372345823245678234523425[[#This Row],[Runs]]=0,0,Horses3658924235672372345823245678234523425[[#This Row],[Wins]]/Horses3658924235672372345823245678234523425[[#This Row],[Runs]])</f>
        <v>0</v>
      </c>
      <c r="F11" s="38">
        <f>IF(Horses3658924235672372345823245678234523425[[#This Row],[Runs]]=0,0,Horses3658924235672372345823245678234523425[[#This Row],[Places]]/Horses3658924235672372345823245678234523425[[#This Row],[Runs]])</f>
        <v>0</v>
      </c>
      <c r="G11" s="39">
        <f>_xlfn.RANK.EQ(Horses3658924235672372345823245678234523425[[#This Row],[Wins/Run]],Horses3658924235672372345823245678234523425[Wins/Run],0)</f>
        <v>3</v>
      </c>
      <c r="H11" s="40">
        <v>0</v>
      </c>
      <c r="I11" s="40" t="s">
        <v>78</v>
      </c>
      <c r="J11" s="40">
        <f>IF(Horses3658924235672372345823245678234523425[[#This Row],[Runs]]=0,0,SUM(Horses3658924235672372345823245678234523425[[#This Row],[total win ££]]/Horses3658924235672372345823245678234523425[[#This Row],[Runs]]))</f>
        <v>0</v>
      </c>
      <c r="K11" s="39">
        <f>_xlfn.RANK.EQ(Horses3658924235672372345823245678234523425[[#This Row],[ave ££/run]],Horses3658924235672372345823245678234523425[ave ££/run],0)</f>
        <v>3</v>
      </c>
      <c r="L11" s="15">
        <f>(G11*K11*(-1))+10*COUNTA(Horses3658924235672372345823245678234523425[Name])</f>
        <v>61</v>
      </c>
      <c r="M11" s="41">
        <v>7</v>
      </c>
      <c r="N11" s="39">
        <f>_xlfn.RANK.EQ(Horses3658924235672372345823245678234523425[[#This Row],[last 3 ££]],Horses3658924235672372345823245678234523425[last 3 ££],0)</f>
        <v>4</v>
      </c>
      <c r="O11" s="41">
        <v>21</v>
      </c>
      <c r="P11" s="39">
        <f>_xlfn.RANK.EQ(Horses3658924235672372345823245678234523425[[#This Row],[last 3 pos]],Horses3658924235672372345823245678234523425[last 3 pos],1)</f>
        <v>3</v>
      </c>
      <c r="Q11" s="45">
        <f>(P11*N11*(-1))+10*COUNTA(Horses3658924235672372345823245678234523425[Name])</f>
        <v>58</v>
      </c>
      <c r="R11" s="41">
        <v>51</v>
      </c>
      <c r="S11" s="39">
        <f>_xlfn.RANK.EQ(Horses3658924235672372345823245678234523425[[#This Row],[Tspeed]],Horses3658924235672372345823245678234523425[Tspeed],0)</f>
        <v>3</v>
      </c>
      <c r="T11" s="42">
        <v>77</v>
      </c>
      <c r="U11" s="39">
        <f>_xlfn.RANK.EQ(Horses3658924235672372345823245678234523425[[#This Row],[RPR]],Horses3658924235672372345823245678234523425[RPR],0)</f>
        <v>4</v>
      </c>
      <c r="V11" s="15">
        <f>(S11*U11*(-1))+10*COUNTA(Horses3658924235672372345823245678234523425[Name])</f>
        <v>58</v>
      </c>
      <c r="W11" s="42">
        <v>0</v>
      </c>
      <c r="X11" s="39">
        <f>_xlfn.RANK.EQ(Horses3658924235672372345823245678234523425[[#This Row],[trip]],Horses3658924235672372345823245678234523425[trip],0)</f>
        <v>1</v>
      </c>
      <c r="Y11" s="42">
        <v>0</v>
      </c>
      <c r="Z11" s="39">
        <f>_xlfn.RANK.EQ(Horses3658924235672372345823245678234523425[[#This Row],[going]],Horses3658924235672372345823245678234523425[going],0)</f>
        <v>1</v>
      </c>
      <c r="AA11" s="15">
        <f>(X11*Z11*(-1))+10*COUNTA(Horses3658924235672372345823245678234523425[Name])</f>
        <v>69</v>
      </c>
      <c r="AB11" s="13">
        <f>SUM(L11*$L$4)+(Q11*$Q$4)+(V11*$V$4)+(AA11*$AA$4)</f>
        <v>62.2</v>
      </c>
      <c r="AC11" s="14">
        <f>_xlfn.RANK.EQ(Horses3658924235672372345823245678234523425[[#This Row],[Rating]],Horses3658924235672372345823245678234523425[Rating],0)</f>
        <v>4</v>
      </c>
      <c r="AD11" s="28"/>
      <c r="AE11" s="28"/>
      <c r="AF11" s="28"/>
      <c r="AG11" s="28"/>
    </row>
    <row r="12" spans="1:33" x14ac:dyDescent="0.3">
      <c r="A12" t="s">
        <v>69</v>
      </c>
      <c r="B12" s="37" t="s">
        <v>70</v>
      </c>
      <c r="C12" s="37" t="s">
        <v>71</v>
      </c>
      <c r="D12" s="37">
        <v>1</v>
      </c>
      <c r="E12" s="38">
        <f>IF(Horses3658924235672372345823245678234523425[[#This Row],[Runs]]=0,0,Horses3658924235672372345823245678234523425[[#This Row],[Wins]]/Horses3658924235672372345823245678234523425[[#This Row],[Runs]])</f>
        <v>0.16666666666666666</v>
      </c>
      <c r="F12" s="38">
        <f>IF(Horses3658924235672372345823245678234523425[[#This Row],[Runs]]=0,0,Horses3658924235672372345823245678234523425[[#This Row],[Places]]/Horses3658924235672372345823245678234523425[[#This Row],[Runs]])</f>
        <v>0.16666666666666666</v>
      </c>
      <c r="G12" s="39">
        <f>_xlfn.RANK.EQ(Horses3658924235672372345823245678234523425[[#This Row],[Wins/Run]],Horses3658924235672372345823245678234523425[Wins/Run],0)</f>
        <v>2</v>
      </c>
      <c r="H12" s="40">
        <v>2782</v>
      </c>
      <c r="I12" s="40" t="s">
        <v>72</v>
      </c>
      <c r="J12" s="40">
        <f>IF(Horses3658924235672372345823245678234523425[[#This Row],[Runs]]=0,0,SUM(Horses3658924235672372345823245678234523425[[#This Row],[total win ££]]/Horses3658924235672372345823245678234523425[[#This Row],[Runs]]))</f>
        <v>463.66666666666669</v>
      </c>
      <c r="K12" s="39">
        <f>_xlfn.RANK.EQ(Horses3658924235672372345823245678234523425[[#This Row],[ave ££/run]],Horses3658924235672372345823245678234523425[ave ££/run],0)</f>
        <v>2</v>
      </c>
      <c r="L12" s="15">
        <f>(G12*K12*(-1))+10*COUNTA(Horses3658924235672372345823245678234523425[Name])</f>
        <v>66</v>
      </c>
      <c r="M12" s="41">
        <v>3</v>
      </c>
      <c r="N12" s="39">
        <f>_xlfn.RANK.EQ(Horses3658924235672372345823245678234523425[[#This Row],[last 3 ££]],Horses3658924235672372345823245678234523425[last 3 ££],0)</f>
        <v>6</v>
      </c>
      <c r="O12" s="41">
        <v>21</v>
      </c>
      <c r="P12" s="39">
        <f>_xlfn.RANK.EQ(Horses3658924235672372345823245678234523425[[#This Row],[last 3 pos]],Horses3658924235672372345823245678234523425[last 3 pos],1)</f>
        <v>3</v>
      </c>
      <c r="Q12" s="45">
        <f>(P12*N12*(-1))+10*COUNTA(Horses3658924235672372345823245678234523425[Name])</f>
        <v>52</v>
      </c>
      <c r="R12" s="41">
        <v>81</v>
      </c>
      <c r="S12" s="39">
        <f>_xlfn.RANK.EQ(Horses3658924235672372345823245678234523425[[#This Row],[Tspeed]],Horses3658924235672372345823245678234523425[Tspeed],0)</f>
        <v>1</v>
      </c>
      <c r="T12" s="42">
        <v>82</v>
      </c>
      <c r="U12" s="39">
        <f>_xlfn.RANK.EQ(Horses3658924235672372345823245678234523425[[#This Row],[RPR]],Horses3658924235672372345823245678234523425[RPR],0)</f>
        <v>2</v>
      </c>
      <c r="V12" s="15">
        <f>(S12*U12*(-1))+10*COUNTA(Horses3658924235672372345823245678234523425[Name])</f>
        <v>68</v>
      </c>
      <c r="W12" s="42">
        <v>0</v>
      </c>
      <c r="X12" s="39">
        <f>_xlfn.RANK.EQ(Horses3658924235672372345823245678234523425[[#This Row],[trip]],Horses3658924235672372345823245678234523425[trip],0)</f>
        <v>1</v>
      </c>
      <c r="Y12" s="42">
        <v>0</v>
      </c>
      <c r="Z12" s="39">
        <f>_xlfn.RANK.EQ(Horses3658924235672372345823245678234523425[[#This Row],[going]],Horses3658924235672372345823245678234523425[going],0)</f>
        <v>1</v>
      </c>
      <c r="AA12" s="15">
        <f>(X12*Z12*(-1))+10*COUNTA(Horses3658924235672372345823245678234523425[Name])</f>
        <v>69</v>
      </c>
      <c r="AB12" s="13">
        <f>SUM(L12*$L$4)+(Q12*$Q$4)+(V12*$V$4)+(AA12*$AA$4)</f>
        <v>64.5</v>
      </c>
      <c r="AC12" s="14">
        <f>_xlfn.RANK.EQ(Horses3658924235672372345823245678234523425[[#This Row],[Rating]],Horses3658924235672372345823245678234523425[Rating],0)</f>
        <v>3</v>
      </c>
      <c r="AD12" s="28"/>
      <c r="AE12" s="28"/>
      <c r="AF12" s="28"/>
      <c r="AG12" s="28"/>
    </row>
    <row r="13" spans="1:33" x14ac:dyDescent="0.3">
      <c r="A13" t="s">
        <v>81</v>
      </c>
      <c r="B13" s="37" t="s">
        <v>67</v>
      </c>
      <c r="C13" s="37" t="s">
        <v>75</v>
      </c>
      <c r="D13" s="37">
        <v>0</v>
      </c>
      <c r="E13" s="38">
        <f>IF(Horses3658924235672372345823245678234523425[[#This Row],[Runs]]=0,0,Horses3658924235672372345823245678234523425[[#This Row],[Wins]]/Horses3658924235672372345823245678234523425[[#This Row],[Runs]])</f>
        <v>0</v>
      </c>
      <c r="F13" s="38">
        <f>IF(Horses3658924235672372345823245678234523425[[#This Row],[Runs]]=0,0,Horses3658924235672372345823245678234523425[[#This Row],[Places]]/Horses3658924235672372345823245678234523425[[#This Row],[Runs]])</f>
        <v>0</v>
      </c>
      <c r="G13" s="39">
        <f>_xlfn.RANK.EQ(Horses3658924235672372345823245678234523425[[#This Row],[Wins/Run]],Horses3658924235672372345823245678234523425[Wins/Run],0)</f>
        <v>3</v>
      </c>
      <c r="H13" s="40">
        <v>0</v>
      </c>
      <c r="I13" s="40" t="s">
        <v>78</v>
      </c>
      <c r="J13" s="40">
        <f>IF(Horses3658924235672372345823245678234523425[[#This Row],[Runs]]=0,0,SUM(Horses3658924235672372345823245678234523425[[#This Row],[total win ££]]/Horses3658924235672372345823245678234523425[[#This Row],[Runs]]))</f>
        <v>0</v>
      </c>
      <c r="K13" s="39">
        <f>_xlfn.RANK.EQ(Horses3658924235672372345823245678234523425[[#This Row],[ave ££/run]],Horses3658924235672372345823245678234523425[ave ££/run],0)</f>
        <v>3</v>
      </c>
      <c r="L13" s="15">
        <f>(G13*K13*(-1))+10*COUNTA(Horses3658924235672372345823245678234523425[Name])</f>
        <v>61</v>
      </c>
      <c r="M13" s="41">
        <v>6</v>
      </c>
      <c r="N13" s="39">
        <f>_xlfn.RANK.EQ(Horses3658924235672372345823245678234523425[[#This Row],[last 3 ££]],Horses3658924235672372345823245678234523425[last 3 ££],0)</f>
        <v>5</v>
      </c>
      <c r="O13" s="41">
        <v>31</v>
      </c>
      <c r="P13" s="39">
        <f>_xlfn.RANK.EQ(Horses3658924235672372345823245678234523425[[#This Row],[last 3 pos]],Horses3658924235672372345823245678234523425[last 3 pos],1)</f>
        <v>7</v>
      </c>
      <c r="Q13" s="45">
        <f>(P13*N13*(-1))+10*COUNTA(Horses3658924235672372345823245678234523425[Name])</f>
        <v>35</v>
      </c>
      <c r="R13" s="41">
        <v>0</v>
      </c>
      <c r="S13" s="39">
        <f>_xlfn.RANK.EQ(Horses3658924235672372345823245678234523425[[#This Row],[Tspeed]],Horses3658924235672372345823245678234523425[Tspeed],0)</f>
        <v>6</v>
      </c>
      <c r="T13" s="42">
        <v>0</v>
      </c>
      <c r="U13" s="39">
        <f>_xlfn.RANK.EQ(Horses3658924235672372345823245678234523425[[#This Row],[RPR]],Horses3658924235672372345823245678234523425[RPR],0)</f>
        <v>6</v>
      </c>
      <c r="V13" s="15">
        <f>(S13*U13*(-1))+10*COUNTA(Horses3658924235672372345823245678234523425[Name])</f>
        <v>34</v>
      </c>
      <c r="W13" s="42">
        <v>0</v>
      </c>
      <c r="X13" s="39">
        <f>_xlfn.RANK.EQ(Horses3658924235672372345823245678234523425[[#This Row],[trip]],Horses3658924235672372345823245678234523425[trip],0)</f>
        <v>1</v>
      </c>
      <c r="Y13" s="42">
        <v>0</v>
      </c>
      <c r="Z13" s="39">
        <f>_xlfn.RANK.EQ(Horses3658924235672372345823245678234523425[[#This Row],[going]],Horses3658924235672372345823245678234523425[going],0)</f>
        <v>1</v>
      </c>
      <c r="AA13" s="15">
        <f>(X13*Z13*(-1))+10*COUNTA(Horses3658924235672372345823245678234523425[Name])</f>
        <v>69</v>
      </c>
      <c r="AB13" s="13">
        <f>SUM(L13*$L$4)+(Q13*$Q$4)+(V13*$V$4)+(AA13*$AA$4)</f>
        <v>52.8</v>
      </c>
      <c r="AC13" s="14">
        <f>_xlfn.RANK.EQ(Horses3658924235672372345823245678234523425[[#This Row],[Rating]],Horses3658924235672372345823245678234523425[Rating],0)</f>
        <v>6</v>
      </c>
      <c r="AD13" s="28"/>
      <c r="AE13" s="28"/>
      <c r="AF13" s="28"/>
      <c r="AG13" s="28"/>
    </row>
    <row r="14" spans="1:33" x14ac:dyDescent="0.3">
      <c r="A14" t="s">
        <v>77</v>
      </c>
      <c r="B14" s="37" t="s">
        <v>71</v>
      </c>
      <c r="C14" s="37" t="s">
        <v>75</v>
      </c>
      <c r="D14" s="37">
        <v>0</v>
      </c>
      <c r="E14" s="38">
        <f>IF(Horses3658924235672372345823245678234523425[[#This Row],[Runs]]=0,0,Horses3658924235672372345823245678234523425[[#This Row],[Wins]]/Horses3658924235672372345823245678234523425[[#This Row],[Runs]])</f>
        <v>0</v>
      </c>
      <c r="F14" s="38">
        <f>IF(Horses3658924235672372345823245678234523425[[#This Row],[Runs]]=0,0,Horses3658924235672372345823245678234523425[[#This Row],[Places]]/Horses3658924235672372345823245678234523425[[#This Row],[Runs]])</f>
        <v>0</v>
      </c>
      <c r="G14" s="39">
        <f>_xlfn.RANK.EQ(Horses3658924235672372345823245678234523425[[#This Row],[Wins/Run]],Horses3658924235672372345823245678234523425[Wins/Run],0)</f>
        <v>3</v>
      </c>
      <c r="H14" s="40">
        <v>0</v>
      </c>
      <c r="I14" s="40" t="s">
        <v>78</v>
      </c>
      <c r="J14" s="40">
        <f>IF(Horses3658924235672372345823245678234523425[[#This Row],[Runs]]=0,0,SUM(Horses3658924235672372345823245678234523425[[#This Row],[total win ££]]/Horses3658924235672372345823245678234523425[[#This Row],[Runs]]))</f>
        <v>0</v>
      </c>
      <c r="K14" s="39">
        <f>_xlfn.RANK.EQ(Horses3658924235672372345823245678234523425[[#This Row],[ave ££/run]],Horses3658924235672372345823245678234523425[ave ££/run],0)</f>
        <v>3</v>
      </c>
      <c r="L14" s="15">
        <f>(G14*K14*(-1))+10*COUNTA(Horses3658924235672372345823245678234523425[Name])</f>
        <v>61</v>
      </c>
      <c r="M14" s="41">
        <v>3</v>
      </c>
      <c r="N14" s="39">
        <f>_xlfn.RANK.EQ(Horses3658924235672372345823245678234523425[[#This Row],[last 3 ££]],Horses3658924235672372345823245678234523425[last 3 ££],0)</f>
        <v>6</v>
      </c>
      <c r="O14" s="41">
        <v>26</v>
      </c>
      <c r="P14" s="39">
        <f>_xlfn.RANK.EQ(Horses3658924235672372345823245678234523425[[#This Row],[last 3 pos]],Horses3658924235672372345823245678234523425[last 3 pos],1)</f>
        <v>6</v>
      </c>
      <c r="Q14" s="45">
        <f>(P14*N14*(-1))+10*COUNTA(Horses3658924235672372345823245678234523425[Name])</f>
        <v>34</v>
      </c>
      <c r="R14" s="41">
        <v>0</v>
      </c>
      <c r="S14" s="39">
        <f>_xlfn.RANK.EQ(Horses3658924235672372345823245678234523425[[#This Row],[Tspeed]],Horses3658924235672372345823245678234523425[Tspeed],0)</f>
        <v>6</v>
      </c>
      <c r="T14" s="42">
        <v>0</v>
      </c>
      <c r="U14" s="39">
        <f>_xlfn.RANK.EQ(Horses3658924235672372345823245678234523425[[#This Row],[RPR]],Horses3658924235672372345823245678234523425[RPR],0)</f>
        <v>6</v>
      </c>
      <c r="V14" s="15">
        <f>(S14*U14*(-1))+10*COUNTA(Horses3658924235672372345823245678234523425[Name])</f>
        <v>34</v>
      </c>
      <c r="W14" s="42">
        <v>0</v>
      </c>
      <c r="X14" s="39">
        <f>_xlfn.RANK.EQ(Horses3658924235672372345823245678234523425[[#This Row],[trip]],Horses3658924235672372345823245678234523425[trip],0)</f>
        <v>1</v>
      </c>
      <c r="Y14" s="42">
        <v>0</v>
      </c>
      <c r="Z14" s="39">
        <f>_xlfn.RANK.EQ(Horses3658924235672372345823245678234523425[[#This Row],[going]],Horses3658924235672372345823245678234523425[going],0)</f>
        <v>1</v>
      </c>
      <c r="AA14" s="15">
        <f>(X14*Z14*(-1))+10*COUNTA(Horses3658924235672372345823245678234523425[Name])</f>
        <v>69</v>
      </c>
      <c r="AB14" s="13">
        <f>SUM(L14*$L$4)+(Q14*$Q$4)+(V14*$V$4)+(AA14*$AA$4)</f>
        <v>52.6</v>
      </c>
      <c r="AC14" s="14">
        <f>_xlfn.RANK.EQ(Horses3658924235672372345823245678234523425[[#This Row],[Rating]],Horses3658924235672372345823245678234523425[Rating],0)</f>
        <v>7</v>
      </c>
      <c r="AD14" s="28"/>
      <c r="AE14" s="28"/>
      <c r="AF14" s="28"/>
      <c r="AG14" s="28"/>
    </row>
    <row r="15" spans="1:33" x14ac:dyDescent="0.3">
      <c r="B15" s="37"/>
      <c r="C15" s="37"/>
      <c r="D15" s="37"/>
      <c r="E15" s="38"/>
      <c r="F15" s="38"/>
      <c r="G15" s="39"/>
      <c r="H15" s="40"/>
      <c r="I15" s="40"/>
      <c r="J15" s="40"/>
      <c r="K15" s="39"/>
      <c r="L15" s="15"/>
      <c r="M15" s="41"/>
      <c r="N15" s="39"/>
      <c r="O15" s="41"/>
      <c r="P15" s="39"/>
      <c r="Q15" s="15"/>
      <c r="R15" s="41"/>
      <c r="S15" s="39"/>
      <c r="T15" s="42"/>
      <c r="U15" s="39"/>
      <c r="V15" s="15"/>
      <c r="W15" s="42"/>
      <c r="X15" s="39"/>
      <c r="Y15" s="42"/>
      <c r="Z15" s="39"/>
      <c r="AA15" s="15"/>
      <c r="AB15" s="26"/>
      <c r="AC15" s="14"/>
      <c r="AD15" s="28"/>
      <c r="AE15" s="28"/>
      <c r="AF15" s="28"/>
      <c r="AG15" s="28"/>
    </row>
    <row r="16" spans="1:33" x14ac:dyDescent="0.3">
      <c r="B16" s="37"/>
      <c r="C16" s="37"/>
      <c r="D16" s="37"/>
      <c r="E16" s="38"/>
      <c r="F16" s="38"/>
      <c r="G16" s="39"/>
      <c r="H16" s="40"/>
      <c r="I16" s="40"/>
      <c r="J16" s="40"/>
      <c r="K16" s="39"/>
      <c r="L16" s="15"/>
      <c r="M16" s="41"/>
      <c r="N16" s="39"/>
      <c r="O16" s="41"/>
      <c r="P16" s="39"/>
      <c r="Q16" s="15"/>
      <c r="R16" s="41"/>
      <c r="S16" s="39"/>
      <c r="T16" s="42"/>
      <c r="U16" s="39"/>
      <c r="V16" s="15"/>
      <c r="W16" s="42"/>
      <c r="X16" s="39"/>
      <c r="Y16" s="42"/>
      <c r="Z16" s="39"/>
      <c r="AA16" s="15"/>
      <c r="AB16" s="26"/>
      <c r="AC16" s="14"/>
      <c r="AD16" s="28"/>
      <c r="AE16" s="28"/>
      <c r="AF16" s="28"/>
      <c r="AG16" s="28"/>
    </row>
    <row r="17" spans="1:33" x14ac:dyDescent="0.3">
      <c r="B17" s="37"/>
      <c r="C17" s="37"/>
      <c r="D17" s="37"/>
      <c r="E17" s="38"/>
      <c r="F17" s="38"/>
      <c r="G17" s="39"/>
      <c r="H17" s="40"/>
      <c r="I17" s="40"/>
      <c r="J17" s="40"/>
      <c r="K17" s="39"/>
      <c r="L17" s="15"/>
      <c r="M17" s="41"/>
      <c r="N17" s="39"/>
      <c r="O17" s="41"/>
      <c r="P17" s="39"/>
      <c r="Q17" s="15"/>
      <c r="R17" s="41"/>
      <c r="S17" s="39"/>
      <c r="T17" s="42"/>
      <c r="U17" s="39"/>
      <c r="V17" s="15"/>
      <c r="W17" s="42"/>
      <c r="X17" s="39"/>
      <c r="Y17" s="42"/>
      <c r="Z17" s="39"/>
      <c r="AA17" s="15"/>
      <c r="AB17" s="26"/>
      <c r="AC17" s="14"/>
      <c r="AD17" s="28"/>
      <c r="AE17" s="28"/>
      <c r="AF17" s="28"/>
      <c r="AG17" s="28"/>
    </row>
    <row r="18" spans="1:33" x14ac:dyDescent="0.3">
      <c r="B18" s="37"/>
      <c r="C18" s="37"/>
      <c r="D18" s="37"/>
      <c r="E18" s="38"/>
      <c r="F18" s="38"/>
      <c r="G18" s="39"/>
      <c r="H18" s="40"/>
      <c r="I18" s="40"/>
      <c r="J18" s="40"/>
      <c r="K18" s="39"/>
      <c r="L18" s="15"/>
      <c r="M18" s="41"/>
      <c r="N18" s="39"/>
      <c r="O18" s="41"/>
      <c r="P18" s="39"/>
      <c r="Q18" s="15"/>
      <c r="R18" s="41"/>
      <c r="S18" s="39"/>
      <c r="T18" s="42"/>
      <c r="U18" s="39"/>
      <c r="V18" s="15"/>
      <c r="W18" s="42"/>
      <c r="X18" s="39"/>
      <c r="Y18" s="42"/>
      <c r="Z18" s="39"/>
      <c r="AA18" s="15"/>
      <c r="AB18" s="26"/>
      <c r="AC18" s="14"/>
      <c r="AD18" s="28"/>
      <c r="AE18" s="28"/>
      <c r="AF18" s="28"/>
      <c r="AG18" s="28"/>
    </row>
    <row r="19" spans="1:33" x14ac:dyDescent="0.3">
      <c r="B19" s="37"/>
      <c r="C19" s="37"/>
      <c r="D19" s="37"/>
      <c r="E19" s="38"/>
      <c r="F19" s="38"/>
      <c r="G19" s="39"/>
      <c r="H19" s="40"/>
      <c r="I19" s="40"/>
      <c r="J19" s="40"/>
      <c r="K19" s="39"/>
      <c r="L19" s="15"/>
      <c r="M19" s="41"/>
      <c r="N19" s="39"/>
      <c r="O19" s="41"/>
      <c r="P19" s="39"/>
      <c r="Q19" s="15"/>
      <c r="R19" s="41"/>
      <c r="S19" s="39"/>
      <c r="T19" s="42"/>
      <c r="U19" s="39"/>
      <c r="V19" s="15"/>
      <c r="W19" s="42"/>
      <c r="X19" s="39"/>
      <c r="Y19" s="42"/>
      <c r="Z19" s="39"/>
      <c r="AA19" s="15"/>
      <c r="AB19" s="26"/>
      <c r="AC19" s="14"/>
      <c r="AD19" s="28"/>
      <c r="AE19" s="28"/>
      <c r="AF19" s="28"/>
      <c r="AG19" s="28"/>
    </row>
    <row r="20" spans="1:33" x14ac:dyDescent="0.3">
      <c r="B20" s="37"/>
      <c r="C20" s="37"/>
      <c r="D20" s="37"/>
      <c r="E20" s="38"/>
      <c r="F20" s="38"/>
      <c r="G20" s="39"/>
      <c r="H20" s="40"/>
      <c r="I20" s="40"/>
      <c r="J20" s="40"/>
      <c r="K20" s="39"/>
      <c r="L20" s="15"/>
      <c r="M20" s="41"/>
      <c r="N20" s="39"/>
      <c r="O20" s="41"/>
      <c r="P20" s="39"/>
      <c r="Q20" s="15"/>
      <c r="R20" s="41"/>
      <c r="S20" s="39"/>
      <c r="T20" s="42"/>
      <c r="U20" s="39"/>
      <c r="V20" s="15"/>
      <c r="W20" s="42"/>
      <c r="X20" s="39"/>
      <c r="Y20" s="42"/>
      <c r="Z20" s="39"/>
      <c r="AA20" s="15"/>
      <c r="AB20" s="26"/>
      <c r="AC20" s="14"/>
      <c r="AD20" s="28"/>
      <c r="AE20" s="28"/>
      <c r="AF20" s="28"/>
      <c r="AG20" s="28"/>
    </row>
    <row r="21" spans="1:33" x14ac:dyDescent="0.3">
      <c r="B21" s="37"/>
      <c r="C21" s="37"/>
      <c r="D21" s="37"/>
      <c r="E21" s="38"/>
      <c r="F21" s="38"/>
      <c r="G21" s="39"/>
      <c r="H21" s="40"/>
      <c r="I21" s="40"/>
      <c r="J21" s="40"/>
      <c r="K21" s="39"/>
      <c r="L21" s="15"/>
      <c r="M21" s="41"/>
      <c r="N21" s="39"/>
      <c r="O21" s="41"/>
      <c r="P21" s="39"/>
      <c r="Q21" s="15"/>
      <c r="R21" s="41"/>
      <c r="S21" s="39"/>
      <c r="T21" s="42"/>
      <c r="U21" s="39"/>
      <c r="V21" s="15"/>
      <c r="W21" s="42"/>
      <c r="X21" s="39"/>
      <c r="Y21" s="42"/>
      <c r="Z21" s="39"/>
      <c r="AA21" s="15"/>
      <c r="AB21" s="26"/>
      <c r="AC21" s="14"/>
      <c r="AD21" s="28"/>
      <c r="AE21" s="28"/>
      <c r="AF21" s="28"/>
      <c r="AG21" s="28"/>
    </row>
    <row r="22" spans="1:33" x14ac:dyDescent="0.3">
      <c r="B22" s="37"/>
      <c r="C22" s="37"/>
      <c r="D22" s="37"/>
      <c r="E22" s="38"/>
      <c r="F22" s="38"/>
      <c r="G22" s="39"/>
      <c r="H22" s="40"/>
      <c r="I22" s="40"/>
      <c r="J22" s="40"/>
      <c r="K22" s="39"/>
      <c r="L22" s="15"/>
      <c r="M22" s="41"/>
      <c r="N22" s="39"/>
      <c r="O22" s="41"/>
      <c r="P22" s="39"/>
      <c r="Q22" s="15"/>
      <c r="R22" s="41"/>
      <c r="S22" s="39"/>
      <c r="T22" s="42"/>
      <c r="U22" s="39"/>
      <c r="V22" s="15"/>
      <c r="W22" s="42"/>
      <c r="X22" s="39"/>
      <c r="Y22" s="42"/>
      <c r="Z22" s="39"/>
      <c r="AA22" s="15"/>
      <c r="AB22" s="26"/>
      <c r="AC22" s="14"/>
      <c r="AD22" s="28"/>
      <c r="AE22" s="28"/>
      <c r="AF22" s="28"/>
      <c r="AG22" s="28"/>
    </row>
    <row r="23" spans="1:33" x14ac:dyDescent="0.3">
      <c r="B23" s="37"/>
      <c r="C23" s="37"/>
      <c r="D23" s="37"/>
      <c r="E23" s="38"/>
      <c r="F23" s="38"/>
      <c r="G23" s="39"/>
      <c r="H23" s="40"/>
      <c r="I23" s="40"/>
      <c r="J23" s="40"/>
      <c r="K23" s="39"/>
      <c r="L23" s="15"/>
      <c r="M23" s="41"/>
      <c r="N23" s="39"/>
      <c r="O23" s="41"/>
      <c r="P23" s="39"/>
      <c r="Q23" s="15"/>
      <c r="R23" s="41"/>
      <c r="S23" s="39"/>
      <c r="T23" s="42"/>
      <c r="U23" s="39"/>
      <c r="V23" s="15"/>
      <c r="W23" s="42"/>
      <c r="X23" s="39"/>
      <c r="Y23" s="42"/>
      <c r="Z23" s="39"/>
      <c r="AA23" s="15"/>
      <c r="AB23" s="26"/>
      <c r="AC23" s="14"/>
      <c r="AD23" s="28"/>
      <c r="AE23" s="28"/>
      <c r="AF23" s="28"/>
      <c r="AG23" s="28"/>
    </row>
    <row r="24" spans="1:33" x14ac:dyDescent="0.3">
      <c r="A24" s="43"/>
      <c r="B24" s="37"/>
      <c r="C24" s="37"/>
      <c r="D24" s="37"/>
      <c r="E24" s="38"/>
      <c r="F24" s="38"/>
      <c r="G24" s="39"/>
      <c r="H24" s="40"/>
      <c r="I24" s="40"/>
      <c r="J24" s="40"/>
      <c r="K24" s="39"/>
      <c r="L24" s="15"/>
      <c r="M24" s="41"/>
      <c r="N24" s="39"/>
      <c r="O24" s="41"/>
      <c r="P24" s="39"/>
      <c r="Q24" s="15"/>
      <c r="R24" s="41"/>
      <c r="S24" s="39"/>
      <c r="T24" s="42"/>
      <c r="U24" s="39"/>
      <c r="V24" s="15"/>
      <c r="W24" s="42"/>
      <c r="X24" s="39"/>
      <c r="Y24" s="42"/>
      <c r="Z24" s="39"/>
      <c r="AA24" s="15"/>
      <c r="AB24" s="26"/>
      <c r="AC24" s="14"/>
      <c r="AD24" s="28"/>
      <c r="AE24" s="28"/>
      <c r="AF24" s="28"/>
      <c r="AG24" s="28"/>
    </row>
    <row r="26" spans="1:33" x14ac:dyDescent="0.2">
      <c r="E26" s="34"/>
      <c r="F26" s="34"/>
      <c r="G26" s="35"/>
    </row>
  </sheetData>
  <conditionalFormatting sqref="G8:G24 K8:K24 N8:N24 P8:P24 S8:S24 U8:U24 X8:X24 Z8:Z24 AC8:AC24">
    <cfRule type="cellIs" dxfId="71" priority="1" operator="lessThanOrEqual">
      <formula>4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Button 1">
              <controlPr defaultSize="0" print="0" autoFill="0" autoPict="0" macro="[0]!SortByResult1">
                <anchor moveWithCells="1" sizeWithCells="1">
                  <from>
                    <xdr:col>11</xdr:col>
                    <xdr:colOff>0</xdr:colOff>
                    <xdr:row>3</xdr:row>
                    <xdr:rowOff>190500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4" name="Button 2">
              <controlPr defaultSize="0" print="0" autoFill="0" autoPict="0" macro="[0]!SortByResult2">
                <anchor moveWithCells="1" sizeWithCells="1">
                  <from>
                    <xdr:col>16</xdr:col>
                    <xdr:colOff>0</xdr:colOff>
                    <xdr:row>3</xdr:row>
                    <xdr:rowOff>190500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5" name="Button 3">
              <controlPr defaultSize="0" print="0" autoFill="0" autoPict="0" macro="[0]!SortByResult3">
                <anchor moveWithCells="1" sizeWithCells="1">
                  <from>
                    <xdr:col>21</xdr:col>
                    <xdr:colOff>0</xdr:colOff>
                    <xdr:row>3</xdr:row>
                    <xdr:rowOff>190500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6" name="Button 4">
              <controlPr defaultSize="0" print="0" autoFill="0" autoPict="0" macro="[0]!SortByResult4">
                <anchor moveWithCells="1" sizeWithCells="1">
                  <from>
                    <xdr:col>26</xdr:col>
                    <xdr:colOff>0</xdr:colOff>
                    <xdr:row>3</xdr:row>
                    <xdr:rowOff>190500</xdr:rowOff>
                  </from>
                  <to>
                    <xdr:col>27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7" name="Button 5">
              <controlPr defaultSize="0" print="0" autoFill="0" autoPict="0" macro="[0]!SortByRating">
                <anchor moveWithCells="1" sizeWithCells="1">
                  <from>
                    <xdr:col>27</xdr:col>
                    <xdr:colOff>0</xdr:colOff>
                    <xdr:row>3</xdr:row>
                    <xdr:rowOff>190500</xdr:rowOff>
                  </from>
                  <to>
                    <xdr:col>28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8" name="Button 6">
              <controlPr defaultSize="0" print="0" autoFill="0" autoPict="0" macro="[0]!SortByResult1">
                <anchor moveWithCells="1" sizeWithCells="1">
                  <from>
                    <xdr:col>11</xdr:col>
                    <xdr:colOff>0</xdr:colOff>
                    <xdr:row>3</xdr:row>
                    <xdr:rowOff>190500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9" name="Button 7">
              <controlPr defaultSize="0" print="0" autoFill="0" autoPict="0" macro="[0]!SortByResult2">
                <anchor moveWithCells="1" sizeWithCells="1">
                  <from>
                    <xdr:col>16</xdr:col>
                    <xdr:colOff>0</xdr:colOff>
                    <xdr:row>3</xdr:row>
                    <xdr:rowOff>190500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10" name="Button 8">
              <controlPr defaultSize="0" print="0" autoFill="0" autoPict="0" macro="[0]!SortByResult3">
                <anchor moveWithCells="1" sizeWithCells="1">
                  <from>
                    <xdr:col>21</xdr:col>
                    <xdr:colOff>0</xdr:colOff>
                    <xdr:row>3</xdr:row>
                    <xdr:rowOff>190500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1" name="Button 9">
              <controlPr defaultSize="0" print="0" autoFill="0" autoPict="0" macro="[0]!SortByResult4">
                <anchor moveWithCells="1" sizeWithCells="1">
                  <from>
                    <xdr:col>26</xdr:col>
                    <xdr:colOff>0</xdr:colOff>
                    <xdr:row>3</xdr:row>
                    <xdr:rowOff>190500</xdr:rowOff>
                  </from>
                  <to>
                    <xdr:col>27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12" name="Button 10">
              <controlPr defaultSize="0" print="0" autoFill="0" autoPict="0" macro="[0]!SortByRating">
                <anchor moveWithCells="1" sizeWithCells="1">
                  <from>
                    <xdr:col>27</xdr:col>
                    <xdr:colOff>0</xdr:colOff>
                    <xdr:row>3</xdr:row>
                    <xdr:rowOff>190500</xdr:rowOff>
                  </from>
                  <to>
                    <xdr:col>28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3" name="Botón 13">
              <controlPr defaultSize="0" print="0" autoFill="0" autoPict="0" macro="[0]!Tidyup.tidyup">
                <anchor moveWithCells="1" sizeWithCells="1">
                  <from>
                    <xdr:col>11</xdr:col>
                    <xdr:colOff>0</xdr:colOff>
                    <xdr:row>1</xdr:row>
                    <xdr:rowOff>83820</xdr:rowOff>
                  </from>
                  <to>
                    <xdr:col>12</xdr:col>
                    <xdr:colOff>579120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8"/>
  <dimension ref="A1:AG14"/>
  <sheetViews>
    <sheetView zoomScaleNormal="100" workbookViewId="0">
      <pane xSplit="1" topLeftCell="B1" activePane="topRight" state="frozen"/>
      <selection activeCell="O20" sqref="O20"/>
      <selection pane="topRight" activeCell="A8" sqref="A8"/>
    </sheetView>
  </sheetViews>
  <sheetFormatPr defaultColWidth="10" defaultRowHeight="14.4" x14ac:dyDescent="0.3"/>
  <cols>
    <col min="1" max="1" width="23.5546875" style="41" customWidth="1"/>
    <col min="2" max="2" width="13.44140625" style="4" customWidth="1"/>
    <col min="3" max="3" width="7.5546875" style="4" customWidth="1"/>
    <col min="4" max="4" width="12.109375" style="4" customWidth="1"/>
    <col min="5" max="5" width="11.44140625" style="4" bestFit="1" customWidth="1"/>
    <col min="6" max="6" width="8.44140625" style="4" customWidth="1"/>
    <col min="7" max="7" width="8.6640625" style="16" bestFit="1" customWidth="1"/>
    <col min="8" max="10" width="10" style="4" customWidth="1"/>
    <col min="11" max="11" width="8.109375" style="16" bestFit="1" customWidth="1"/>
    <col min="12" max="12" width="10" style="4" customWidth="1"/>
    <col min="13" max="13" width="8.44140625" style="4" customWidth="1"/>
    <col min="14" max="14" width="7.5546875" style="16" customWidth="1"/>
    <col min="15" max="15" width="8.44140625" style="17" customWidth="1"/>
    <col min="16" max="16" width="7.5546875" style="4" customWidth="1"/>
    <col min="17" max="17" width="10.109375" style="4" customWidth="1"/>
    <col min="18" max="18" width="8.44140625" style="4" customWidth="1"/>
    <col min="19" max="19" width="8.88671875" style="4" bestFit="1" customWidth="1"/>
    <col min="20" max="20" width="8.44140625" style="4" customWidth="1"/>
    <col min="21" max="21" width="7.5546875" style="4" customWidth="1"/>
    <col min="22" max="22" width="10" style="4" customWidth="1"/>
    <col min="23" max="23" width="8.44140625" style="18" customWidth="1"/>
    <col min="24" max="24" width="7.5546875" style="18" customWidth="1"/>
    <col min="25" max="25" width="8.44140625" style="18" customWidth="1"/>
    <col min="26" max="26" width="7.5546875" style="4" customWidth="1"/>
    <col min="27" max="27" width="10" style="4" customWidth="1"/>
    <col min="28" max="28" width="10" style="41" customWidth="1"/>
    <col min="29" max="29" width="7.5546875" style="4" customWidth="1"/>
    <col min="30" max="30" width="10" style="4" customWidth="1"/>
    <col min="31" max="16384" width="10" style="4"/>
  </cols>
  <sheetData>
    <row r="1" spans="1:33" x14ac:dyDescent="0.3">
      <c r="A1" s="30" t="s">
        <v>0</v>
      </c>
      <c r="B1" s="30" t="s">
        <v>85</v>
      </c>
      <c r="C1" s="30"/>
      <c r="D1" s="23"/>
      <c r="E1" s="1"/>
      <c r="F1" s="1"/>
      <c r="G1" s="2"/>
      <c r="H1" s="40"/>
      <c r="I1" s="40"/>
      <c r="J1" s="40"/>
      <c r="K1" s="3"/>
      <c r="L1" s="42"/>
      <c r="M1" s="41"/>
      <c r="O1" s="41"/>
      <c r="Q1" s="41"/>
      <c r="R1" s="41"/>
      <c r="S1" s="41"/>
      <c r="T1" s="41"/>
      <c r="U1" s="41"/>
      <c r="V1" s="42"/>
      <c r="W1" s="42"/>
      <c r="X1" s="42"/>
      <c r="Y1" s="42"/>
      <c r="Z1" s="42"/>
      <c r="AA1" s="41"/>
      <c r="AB1" s="4"/>
      <c r="AC1" s="5"/>
    </row>
    <row r="2" spans="1:33" x14ac:dyDescent="0.3">
      <c r="A2" s="30" t="s">
        <v>2</v>
      </c>
      <c r="B2" s="30" t="s">
        <v>86</v>
      </c>
      <c r="C2" s="24"/>
      <c r="D2" s="24"/>
      <c r="E2" s="1"/>
      <c r="F2" s="1"/>
      <c r="G2" s="40"/>
      <c r="H2" s="40"/>
      <c r="I2" s="40"/>
      <c r="J2" s="6"/>
      <c r="K2" s="6"/>
      <c r="L2" s="22"/>
      <c r="N2" s="4"/>
      <c r="O2" s="4"/>
      <c r="S2" s="41"/>
      <c r="T2" s="41"/>
      <c r="U2" s="41"/>
      <c r="V2" s="42"/>
      <c r="W2" s="42"/>
      <c r="X2" s="42"/>
      <c r="Y2" s="42"/>
      <c r="Z2" s="42"/>
      <c r="AA2" s="41"/>
      <c r="AB2" s="4"/>
      <c r="AC2" s="5"/>
    </row>
    <row r="3" spans="1:33" x14ac:dyDescent="0.3">
      <c r="A3" s="30" t="s">
        <v>4</v>
      </c>
      <c r="B3" s="2" t="s">
        <v>87</v>
      </c>
      <c r="C3" s="30"/>
      <c r="D3" s="30"/>
      <c r="E3" s="1"/>
      <c r="F3" s="1"/>
      <c r="G3" s="40"/>
      <c r="H3" s="40"/>
      <c r="I3" s="40"/>
      <c r="J3" s="40"/>
      <c r="K3" s="3"/>
      <c r="L3" s="42"/>
      <c r="M3" s="41"/>
      <c r="N3" s="3"/>
      <c r="O3" s="41"/>
      <c r="P3" s="41"/>
      <c r="Q3" s="41"/>
      <c r="R3" s="41"/>
      <c r="S3" s="41"/>
      <c r="T3" s="41"/>
      <c r="U3" s="41"/>
      <c r="V3" s="42"/>
      <c r="W3" s="42"/>
      <c r="X3" s="42"/>
      <c r="Y3" s="42"/>
      <c r="Z3" s="42"/>
      <c r="AA3" s="41"/>
      <c r="AB3" s="4"/>
      <c r="AC3" s="5"/>
    </row>
    <row r="4" spans="1:33" x14ac:dyDescent="0.3">
      <c r="A4" s="30" t="s">
        <v>6</v>
      </c>
      <c r="B4" s="21" t="s">
        <v>88</v>
      </c>
      <c r="C4" s="30"/>
      <c r="D4" s="30"/>
      <c r="E4" s="7"/>
      <c r="F4" s="7"/>
      <c r="G4" s="20" t="s">
        <v>8</v>
      </c>
      <c r="H4" s="40"/>
      <c r="I4" s="19" t="str">
        <f>IF(SUM(L4,Q4,V4,AA4)=1,"","SUM OF WEIGHTS IS NOT 100%")</f>
        <v/>
      </c>
      <c r="J4" s="40"/>
      <c r="K4" s="3"/>
      <c r="L4" s="8">
        <v>0.3</v>
      </c>
      <c r="M4" s="41"/>
      <c r="N4" s="3"/>
      <c r="O4" s="41"/>
      <c r="P4" s="41"/>
      <c r="Q4" s="8">
        <v>0.2</v>
      </c>
      <c r="R4" s="41"/>
      <c r="S4" s="41"/>
      <c r="T4" s="41"/>
      <c r="U4" s="41"/>
      <c r="V4" s="8">
        <v>0.2</v>
      </c>
      <c r="W4" s="42"/>
      <c r="X4" s="42"/>
      <c r="Y4" s="42"/>
      <c r="Z4" s="42"/>
      <c r="AA4" s="8">
        <v>0.3</v>
      </c>
      <c r="AB4" s="4"/>
      <c r="AC4" s="5"/>
    </row>
    <row r="5" spans="1:33" x14ac:dyDescent="0.3">
      <c r="A5" s="30"/>
      <c r="B5" s="31" t="s">
        <v>9</v>
      </c>
      <c r="C5" s="30" t="s">
        <v>10</v>
      </c>
      <c r="D5" s="30"/>
      <c r="E5" s="29"/>
      <c r="F5" s="1"/>
      <c r="G5" s="9"/>
      <c r="H5" s="40"/>
      <c r="I5" s="40"/>
      <c r="J5" s="40"/>
      <c r="K5" s="3"/>
      <c r="L5" s="38"/>
      <c r="M5" s="41"/>
      <c r="N5" s="3"/>
      <c r="O5" s="41"/>
      <c r="P5" s="41"/>
      <c r="Q5" s="41"/>
      <c r="R5" s="41"/>
      <c r="S5" s="41"/>
      <c r="T5" s="41"/>
      <c r="U5" s="41"/>
      <c r="V5" s="42"/>
      <c r="W5" s="42"/>
      <c r="X5" s="42"/>
      <c r="Y5" s="42"/>
      <c r="Z5" s="42"/>
      <c r="AA5" s="41"/>
      <c r="AB5" s="4"/>
      <c r="AC5" s="5"/>
    </row>
    <row r="6" spans="1:33" s="30" customFormat="1" x14ac:dyDescent="0.3">
      <c r="B6" s="27"/>
      <c r="G6" s="9"/>
      <c r="K6" s="9"/>
      <c r="L6" s="10" t="s">
        <v>11</v>
      </c>
      <c r="N6" s="9"/>
      <c r="Q6" s="10" t="s">
        <v>12</v>
      </c>
      <c r="V6" s="10" t="s">
        <v>13</v>
      </c>
      <c r="W6" s="11"/>
      <c r="X6" s="11"/>
      <c r="AA6" s="10" t="s">
        <v>14</v>
      </c>
      <c r="AB6" s="10" t="s">
        <v>15</v>
      </c>
    </row>
    <row r="7" spans="1:33" ht="15.6" customHeight="1" x14ac:dyDescent="0.3">
      <c r="A7" s="30" t="s">
        <v>16</v>
      </c>
      <c r="B7" s="30" t="s">
        <v>17</v>
      </c>
      <c r="C7" s="30" t="s">
        <v>18</v>
      </c>
      <c r="D7" s="30" t="s">
        <v>19</v>
      </c>
      <c r="E7" s="30" t="s">
        <v>20</v>
      </c>
      <c r="F7" s="30" t="s">
        <v>21</v>
      </c>
      <c r="G7" s="12" t="s">
        <v>22</v>
      </c>
      <c r="H7" s="30" t="s">
        <v>23</v>
      </c>
      <c r="I7" s="30" t="s">
        <v>24</v>
      </c>
      <c r="J7" s="30" t="s">
        <v>25</v>
      </c>
      <c r="K7" s="12" t="s">
        <v>26</v>
      </c>
      <c r="L7" s="25" t="s">
        <v>27</v>
      </c>
      <c r="M7" s="30" t="s">
        <v>28</v>
      </c>
      <c r="N7" s="12" t="s">
        <v>29</v>
      </c>
      <c r="O7" s="30" t="s">
        <v>30</v>
      </c>
      <c r="P7" s="12" t="s">
        <v>31</v>
      </c>
      <c r="Q7" s="13" t="s">
        <v>32</v>
      </c>
      <c r="R7" s="30" t="s">
        <v>33</v>
      </c>
      <c r="S7" s="12" t="s">
        <v>34</v>
      </c>
      <c r="T7" s="30" t="s">
        <v>35</v>
      </c>
      <c r="U7" s="12" t="s">
        <v>36</v>
      </c>
      <c r="V7" s="13" t="s">
        <v>37</v>
      </c>
      <c r="W7" s="11" t="s">
        <v>38</v>
      </c>
      <c r="X7" s="12" t="s">
        <v>39</v>
      </c>
      <c r="Y7" s="11" t="s">
        <v>40</v>
      </c>
      <c r="Z7" s="12" t="s">
        <v>41</v>
      </c>
      <c r="AA7" s="10" t="s">
        <v>42</v>
      </c>
      <c r="AB7" s="26" t="s">
        <v>43</v>
      </c>
      <c r="AC7" s="14" t="s">
        <v>44</v>
      </c>
      <c r="AD7" s="41" t="s">
        <v>45</v>
      </c>
      <c r="AE7" s="41" t="s">
        <v>46</v>
      </c>
      <c r="AF7" s="41" t="s">
        <v>12</v>
      </c>
      <c r="AG7" s="41" t="s">
        <v>47</v>
      </c>
    </row>
    <row r="8" spans="1:33" x14ac:dyDescent="0.3">
      <c r="A8" s="32"/>
      <c r="B8" s="37"/>
      <c r="C8" s="37"/>
      <c r="D8" s="37"/>
      <c r="E8" s="38">
        <f>IF(Horses3658924235672372345823245678234523428[[#This Row],[Runs]]=0,0,Horses3658924235672372345823245678234523428[[#This Row],[Wins]]/Horses3658924235672372345823245678234523428[[#This Row],[Runs]])</f>
        <v>0</v>
      </c>
      <c r="F8" s="38">
        <f>IF(Horses3658924235672372345823245678234523428[[#This Row],[Runs]]=0,0,Horses3658924235672372345823245678234523428[[#This Row],[Places]]/Horses3658924235672372345823245678234523428[[#This Row],[Runs]])</f>
        <v>0</v>
      </c>
      <c r="G8" s="39">
        <f>_xlfn.RANK.EQ(Horses3658924235672372345823245678234523428[[#This Row],[Wins/Run]],Horses3658924235672372345823245678234523428[Wins/Run],0)</f>
        <v>1</v>
      </c>
      <c r="H8" s="40"/>
      <c r="I8" s="40"/>
      <c r="J8" s="40">
        <f>IF(Horses3658924235672372345823245678234523428[[#This Row],[Runs]]=0,0,SUM(Horses3658924235672372345823245678234523428[[#This Row],[total win ££]]/Horses3658924235672372345823245678234523428[[#This Row],[Runs]]))</f>
        <v>0</v>
      </c>
      <c r="K8" s="39">
        <f>_xlfn.RANK.EQ(Horses3658924235672372345823245678234523428[[#This Row],[ave ££/run]],Horses3658924235672372345823245678234523428[ave ££/run],0)</f>
        <v>1</v>
      </c>
      <c r="L8" s="15">
        <f>(G8*K8*(-1))+10*COUNTA(Horses3658924235672372345823245678234523428[Name])</f>
        <v>-1</v>
      </c>
      <c r="M8" s="41"/>
      <c r="N8" s="39" t="e">
        <f>_xlfn.RANK.EQ(Horses3658924235672372345823245678234523428[[#This Row],[last 3 ££]],Horses3658924235672372345823245678234523428[last 3 ££],0)</f>
        <v>#N/A</v>
      </c>
      <c r="O8" s="41"/>
      <c r="P8" s="39" t="e">
        <f>_xlfn.RANK.EQ(Horses3658924235672372345823245678234523428[[#This Row],[last 3 pos]],Horses3658924235672372345823245678234523428[last 3 pos],1)</f>
        <v>#N/A</v>
      </c>
      <c r="Q8" s="15" t="e">
        <f>(P8*N8*(-1))+10*COUNTA(Horses3658924235672372345823245678234523428[Name])</f>
        <v>#N/A</v>
      </c>
      <c r="R8" s="41"/>
      <c r="S8" s="39" t="e">
        <f>_xlfn.RANK.EQ(Horses3658924235672372345823245678234523428[[#This Row],[Tspeed]],Horses3658924235672372345823245678234523428[Tspeed],0)</f>
        <v>#N/A</v>
      </c>
      <c r="T8" s="42"/>
      <c r="U8" s="39" t="e">
        <f>_xlfn.RANK.EQ(Horses3658924235672372345823245678234523428[[#This Row],[RPR]],Horses3658924235672372345823245678234523428[RPR],0)</f>
        <v>#N/A</v>
      </c>
      <c r="V8" s="15" t="e">
        <f>(S8*U8*(-1))+10*COUNTA(Horses3658924235672372345823245678234523428[Name])</f>
        <v>#N/A</v>
      </c>
      <c r="W8" s="42"/>
      <c r="X8" s="39" t="e">
        <f>_xlfn.RANK.EQ(Horses3658924235672372345823245678234523428[[#This Row],[trip]],Horses3658924235672372345823245678234523428[trip],0)</f>
        <v>#N/A</v>
      </c>
      <c r="Y8" s="42"/>
      <c r="Z8" s="39" t="e">
        <f>_xlfn.RANK.EQ(Horses3658924235672372345823245678234523428[[#This Row],[going]],Horses3658924235672372345823245678234523428[going],0)</f>
        <v>#N/A</v>
      </c>
      <c r="AA8" s="15" t="e">
        <f>(X8*Z8*(-1))+10*COUNTA(Horses3658924235672372345823245678234523428[Name])</f>
        <v>#N/A</v>
      </c>
      <c r="AB8" s="26" t="e">
        <f>SUM(L8*$L$4)+(Q8*$Q$4)+(V8*$V$4)+(AA8*$AA$4)</f>
        <v>#N/A</v>
      </c>
      <c r="AC8" s="14" t="e">
        <f>_xlfn.RANK.EQ(Horses3658924235672372345823245678234523428[[#This Row],[Rating]],Horses3658924235672372345823245678234523428[Rating],0)</f>
        <v>#N/A</v>
      </c>
      <c r="AD8" s="28"/>
      <c r="AE8" s="28"/>
      <c r="AF8" s="28"/>
      <c r="AG8" s="28"/>
    </row>
    <row r="9" spans="1:33" x14ac:dyDescent="0.3">
      <c r="B9" s="37"/>
      <c r="C9" s="37"/>
      <c r="D9" s="37"/>
      <c r="E9" s="38">
        <f>IF(Horses3658924235672372345823245678234523428[[#This Row],[Runs]]=0,0,Horses3658924235672372345823245678234523428[[#This Row],[Wins]]/Horses3658924235672372345823245678234523428[[#This Row],[Runs]])</f>
        <v>0</v>
      </c>
      <c r="F9" s="38">
        <f>IF(Horses3658924235672372345823245678234523428[[#This Row],[Runs]]=0,0,Horses3658924235672372345823245678234523428[[#This Row],[Places]]/Horses3658924235672372345823245678234523428[[#This Row],[Runs]])</f>
        <v>0</v>
      </c>
      <c r="G9" s="39">
        <f>_xlfn.RANK.EQ(Horses3658924235672372345823245678234523428[[#This Row],[Wins/Run]],Horses3658924235672372345823245678234523428[Wins/Run],0)</f>
        <v>1</v>
      </c>
      <c r="H9" s="40"/>
      <c r="I9" s="40"/>
      <c r="J9" s="40">
        <f>IF(Horses3658924235672372345823245678234523428[[#This Row],[Runs]]=0,0,SUM(Horses3658924235672372345823245678234523428[[#This Row],[total win ££]]/Horses3658924235672372345823245678234523428[[#This Row],[Runs]]))</f>
        <v>0</v>
      </c>
      <c r="K9" s="39">
        <f>_xlfn.RANK.EQ(Horses3658924235672372345823245678234523428[[#This Row],[ave ££/run]],Horses3658924235672372345823245678234523428[ave ££/run],0)</f>
        <v>1</v>
      </c>
      <c r="L9" s="15">
        <f>(G9*K9*(-1))+10*COUNTA(Horses3658924235672372345823245678234523428[Name])</f>
        <v>-1</v>
      </c>
      <c r="M9" s="41"/>
      <c r="N9" s="39" t="e">
        <f>_xlfn.RANK.EQ(Horses3658924235672372345823245678234523428[[#This Row],[last 3 ££]],Horses3658924235672372345823245678234523428[last 3 ££],0)</f>
        <v>#N/A</v>
      </c>
      <c r="O9" s="41"/>
      <c r="P9" s="39" t="e">
        <f>_xlfn.RANK.EQ(Horses3658924235672372345823245678234523428[[#This Row],[last 3 pos]],Horses3658924235672372345823245678234523428[last 3 pos],1)</f>
        <v>#N/A</v>
      </c>
      <c r="Q9" s="15" t="e">
        <f>(P9*N9*(-1))+10*COUNTA(Horses3658924235672372345823245678234523428[Name])</f>
        <v>#N/A</v>
      </c>
      <c r="R9" s="41"/>
      <c r="S9" s="39" t="e">
        <f>_xlfn.RANK.EQ(Horses3658924235672372345823245678234523428[[#This Row],[Tspeed]],Horses3658924235672372345823245678234523428[Tspeed],0)</f>
        <v>#N/A</v>
      </c>
      <c r="T9" s="42"/>
      <c r="U9" s="39" t="e">
        <f>_xlfn.RANK.EQ(Horses3658924235672372345823245678234523428[[#This Row],[RPR]],Horses3658924235672372345823245678234523428[RPR],0)</f>
        <v>#N/A</v>
      </c>
      <c r="V9" s="15" t="e">
        <f>(S9*U9*(-1))+10*COUNTA(Horses3658924235672372345823245678234523428[Name])</f>
        <v>#N/A</v>
      </c>
      <c r="W9" s="42"/>
      <c r="X9" s="39" t="e">
        <f>_xlfn.RANK.EQ(Horses3658924235672372345823245678234523428[[#This Row],[trip]],Horses3658924235672372345823245678234523428[trip],0)</f>
        <v>#N/A</v>
      </c>
      <c r="Y9" s="42"/>
      <c r="Z9" s="39" t="e">
        <f>_xlfn.RANK.EQ(Horses3658924235672372345823245678234523428[[#This Row],[going]],Horses3658924235672372345823245678234523428[going],0)</f>
        <v>#N/A</v>
      </c>
      <c r="AA9" s="15" t="e">
        <f>(X9*Z9*(-1))+10*COUNTA(Horses3658924235672372345823245678234523428[Name])</f>
        <v>#N/A</v>
      </c>
      <c r="AB9" s="26" t="e">
        <f>SUM(L9*$L$4)+(Q9*$Q$4)+(V9*$V$4)+(AA9*$AA$4)</f>
        <v>#N/A</v>
      </c>
      <c r="AC9" s="14" t="e">
        <f>_xlfn.RANK.EQ(Horses3658924235672372345823245678234523428[[#This Row],[Rating]],Horses3658924235672372345823245678234523428[Rating],0)</f>
        <v>#N/A</v>
      </c>
      <c r="AD9" s="28"/>
      <c r="AE9" s="28"/>
      <c r="AF9" s="28"/>
      <c r="AG9" s="28"/>
    </row>
    <row r="10" spans="1:33" x14ac:dyDescent="0.3">
      <c r="A10" s="44"/>
      <c r="B10" s="37"/>
      <c r="C10" s="37"/>
      <c r="D10" s="37"/>
      <c r="E10" s="38">
        <f>IF(Horses3658924235672372345823245678234523428[[#This Row],[Runs]]=0,0,Horses3658924235672372345823245678234523428[[#This Row],[Wins]]/Horses3658924235672372345823245678234523428[[#This Row],[Runs]])</f>
        <v>0</v>
      </c>
      <c r="F10" s="38">
        <f>IF(Horses3658924235672372345823245678234523428[[#This Row],[Runs]]=0,0,Horses3658924235672372345823245678234523428[[#This Row],[Places]]/Horses3658924235672372345823245678234523428[[#This Row],[Runs]])</f>
        <v>0</v>
      </c>
      <c r="G10" s="39">
        <f>_xlfn.RANK.EQ(Horses3658924235672372345823245678234523428[[#This Row],[Wins/Run]],Horses3658924235672372345823245678234523428[Wins/Run],0)</f>
        <v>1</v>
      </c>
      <c r="H10" s="40"/>
      <c r="I10" s="40"/>
      <c r="J10" s="40">
        <f>IF(Horses3658924235672372345823245678234523428[[#This Row],[Runs]]=0,0,SUM(Horses3658924235672372345823245678234523428[[#This Row],[total win ££]]/Horses3658924235672372345823245678234523428[[#This Row],[Runs]]))</f>
        <v>0</v>
      </c>
      <c r="K10" s="39">
        <f>_xlfn.RANK.EQ(Horses3658924235672372345823245678234523428[[#This Row],[ave ££/run]],Horses3658924235672372345823245678234523428[ave ££/run],0)</f>
        <v>1</v>
      </c>
      <c r="L10" s="15">
        <f>(G10*K10*(-1))+10*COUNTA(Horses3658924235672372345823245678234523428[Name])</f>
        <v>-1</v>
      </c>
      <c r="M10" s="41"/>
      <c r="N10" s="39" t="e">
        <f>_xlfn.RANK.EQ(Horses3658924235672372345823245678234523428[[#This Row],[last 3 ££]],Horses3658924235672372345823245678234523428[last 3 ££],0)</f>
        <v>#N/A</v>
      </c>
      <c r="O10" s="41"/>
      <c r="P10" s="39" t="e">
        <f>_xlfn.RANK.EQ(Horses3658924235672372345823245678234523428[[#This Row],[last 3 pos]],Horses3658924235672372345823245678234523428[last 3 pos],1)</f>
        <v>#N/A</v>
      </c>
      <c r="Q10" s="15" t="e">
        <f>(P10*N10*(-1))+10*COUNTA(Horses3658924235672372345823245678234523428[Name])</f>
        <v>#N/A</v>
      </c>
      <c r="R10" s="41"/>
      <c r="S10" s="39" t="e">
        <f>_xlfn.RANK.EQ(Horses3658924235672372345823245678234523428[[#This Row],[Tspeed]],Horses3658924235672372345823245678234523428[Tspeed],0)</f>
        <v>#N/A</v>
      </c>
      <c r="T10" s="42"/>
      <c r="U10" s="39" t="e">
        <f>_xlfn.RANK.EQ(Horses3658924235672372345823245678234523428[[#This Row],[RPR]],Horses3658924235672372345823245678234523428[RPR],0)</f>
        <v>#N/A</v>
      </c>
      <c r="V10" s="15" t="e">
        <f>(S10*U10*(-1))+10*COUNTA(Horses3658924235672372345823245678234523428[Name])</f>
        <v>#N/A</v>
      </c>
      <c r="W10" s="42"/>
      <c r="X10" s="39" t="e">
        <f>_xlfn.RANK.EQ(Horses3658924235672372345823245678234523428[[#This Row],[trip]],Horses3658924235672372345823245678234523428[trip],0)</f>
        <v>#N/A</v>
      </c>
      <c r="Y10" s="42"/>
      <c r="Z10" s="39" t="e">
        <f>_xlfn.RANK.EQ(Horses3658924235672372345823245678234523428[[#This Row],[going]],Horses3658924235672372345823245678234523428[going],0)</f>
        <v>#N/A</v>
      </c>
      <c r="AA10" s="15" t="e">
        <f>(X10*Z10*(-1))+10*COUNTA(Horses3658924235672372345823245678234523428[Name])</f>
        <v>#N/A</v>
      </c>
      <c r="AB10" s="26" t="e">
        <f>SUM(L10*$L$4)+(Q10*$Q$4)+(V10*$V$4)+(AA10*$AA$4)</f>
        <v>#N/A</v>
      </c>
      <c r="AC10" s="14" t="e">
        <f>_xlfn.RANK.EQ(Horses3658924235672372345823245678234523428[[#This Row],[Rating]],Horses3658924235672372345823245678234523428[Rating],0)</f>
        <v>#N/A</v>
      </c>
      <c r="AD10" s="28"/>
      <c r="AE10" s="28"/>
      <c r="AF10" s="28"/>
      <c r="AG10" s="28"/>
    </row>
    <row r="11" spans="1:33" x14ac:dyDescent="0.3">
      <c r="A11" s="33"/>
      <c r="B11" s="37"/>
      <c r="C11" s="37"/>
      <c r="D11" s="37"/>
      <c r="E11" s="38">
        <f>IF(Horses3658924235672372345823245678234523428[[#This Row],[Runs]]=0,0,Horses3658924235672372345823245678234523428[[#This Row],[Wins]]/Horses3658924235672372345823245678234523428[[#This Row],[Runs]])</f>
        <v>0</v>
      </c>
      <c r="F11" s="38">
        <f>IF(Horses3658924235672372345823245678234523428[[#This Row],[Runs]]=0,0,Horses3658924235672372345823245678234523428[[#This Row],[Places]]/Horses3658924235672372345823245678234523428[[#This Row],[Runs]])</f>
        <v>0</v>
      </c>
      <c r="G11" s="39">
        <f>_xlfn.RANK.EQ(Horses3658924235672372345823245678234523428[[#This Row],[Wins/Run]],Horses3658924235672372345823245678234523428[Wins/Run],0)</f>
        <v>1</v>
      </c>
      <c r="H11" s="40"/>
      <c r="I11" s="40"/>
      <c r="J11" s="40">
        <f>IF(Horses3658924235672372345823245678234523428[[#This Row],[Runs]]=0,0,SUM(Horses3658924235672372345823245678234523428[[#This Row],[total win ££]]/Horses3658924235672372345823245678234523428[[#This Row],[Runs]]))</f>
        <v>0</v>
      </c>
      <c r="K11" s="39">
        <f>_xlfn.RANK.EQ(Horses3658924235672372345823245678234523428[[#This Row],[ave ££/run]],Horses3658924235672372345823245678234523428[ave ££/run],0)</f>
        <v>1</v>
      </c>
      <c r="L11" s="15">
        <f>(G11*K11*(-1))+10*COUNTA(Horses3658924235672372345823245678234523428[Name])</f>
        <v>-1</v>
      </c>
      <c r="M11" s="41"/>
      <c r="N11" s="39" t="e">
        <f>_xlfn.RANK.EQ(Horses3658924235672372345823245678234523428[[#This Row],[last 3 ££]],Horses3658924235672372345823245678234523428[last 3 ££],0)</f>
        <v>#N/A</v>
      </c>
      <c r="O11" s="41"/>
      <c r="P11" s="39" t="e">
        <f>_xlfn.RANK.EQ(Horses3658924235672372345823245678234523428[[#This Row],[last 3 pos]],Horses3658924235672372345823245678234523428[last 3 pos],1)</f>
        <v>#N/A</v>
      </c>
      <c r="Q11" s="15" t="e">
        <f>(P11*N11*(-1))+10*COUNTA(Horses3658924235672372345823245678234523428[Name])</f>
        <v>#N/A</v>
      </c>
      <c r="R11" s="41"/>
      <c r="S11" s="39" t="e">
        <f>_xlfn.RANK.EQ(Horses3658924235672372345823245678234523428[[#This Row],[Tspeed]],Horses3658924235672372345823245678234523428[Tspeed],0)</f>
        <v>#N/A</v>
      </c>
      <c r="T11" s="42"/>
      <c r="U11" s="39" t="e">
        <f>_xlfn.RANK.EQ(Horses3658924235672372345823245678234523428[[#This Row],[RPR]],Horses3658924235672372345823245678234523428[RPR],0)</f>
        <v>#N/A</v>
      </c>
      <c r="V11" s="15" t="e">
        <f>(S11*U11*(-1))+10*COUNTA(Horses3658924235672372345823245678234523428[Name])</f>
        <v>#N/A</v>
      </c>
      <c r="W11" s="42"/>
      <c r="X11" s="39" t="e">
        <f>_xlfn.RANK.EQ(Horses3658924235672372345823245678234523428[[#This Row],[trip]],Horses3658924235672372345823245678234523428[trip],0)</f>
        <v>#N/A</v>
      </c>
      <c r="Y11" s="42"/>
      <c r="Z11" s="39" t="e">
        <f>_xlfn.RANK.EQ(Horses3658924235672372345823245678234523428[[#This Row],[going]],Horses3658924235672372345823245678234523428[going],0)</f>
        <v>#N/A</v>
      </c>
      <c r="AA11" s="15" t="e">
        <f>(X11*Z11*(-1))+10*COUNTA(Horses3658924235672372345823245678234523428[Name])</f>
        <v>#N/A</v>
      </c>
      <c r="AB11" s="26" t="e">
        <f>SUM(L11*$L$4)+(Q11*$Q$4)+(V11*$V$4)+(AA11*$AA$4)</f>
        <v>#N/A</v>
      </c>
      <c r="AC11" s="14" t="e">
        <f>_xlfn.RANK.EQ(Horses3658924235672372345823245678234523428[[#This Row],[Rating]],Horses3658924235672372345823245678234523428[Rating],0)</f>
        <v>#N/A</v>
      </c>
      <c r="AD11" s="28"/>
      <c r="AE11" s="28"/>
      <c r="AF11" s="28"/>
      <c r="AG11" s="28"/>
    </row>
    <row r="12" spans="1:33" x14ac:dyDescent="0.3">
      <c r="A12" s="32"/>
      <c r="B12" s="37"/>
      <c r="C12" s="37"/>
      <c r="D12" s="37"/>
      <c r="E12" s="38">
        <f>IF(Horses3658924235672372345823245678234523428[[#This Row],[Runs]]=0,0,Horses3658924235672372345823245678234523428[[#This Row],[Wins]]/Horses3658924235672372345823245678234523428[[#This Row],[Runs]])</f>
        <v>0</v>
      </c>
      <c r="F12" s="38">
        <f>IF(Horses3658924235672372345823245678234523428[[#This Row],[Runs]]=0,0,Horses3658924235672372345823245678234523428[[#This Row],[Places]]/Horses3658924235672372345823245678234523428[[#This Row],[Runs]])</f>
        <v>0</v>
      </c>
      <c r="G12" s="39">
        <f>_xlfn.RANK.EQ(Horses3658924235672372345823245678234523428[[#This Row],[Wins/Run]],Horses3658924235672372345823245678234523428[Wins/Run],0)</f>
        <v>1</v>
      </c>
      <c r="H12" s="40"/>
      <c r="I12" s="40"/>
      <c r="J12" s="40">
        <f>IF(Horses3658924235672372345823245678234523428[[#This Row],[Runs]]=0,0,SUM(Horses3658924235672372345823245678234523428[[#This Row],[total win ££]]/Horses3658924235672372345823245678234523428[[#This Row],[Runs]]))</f>
        <v>0</v>
      </c>
      <c r="K12" s="39">
        <f>_xlfn.RANK.EQ(Horses3658924235672372345823245678234523428[[#This Row],[ave ££/run]],Horses3658924235672372345823245678234523428[ave ££/run],0)</f>
        <v>1</v>
      </c>
      <c r="L12" s="15">
        <f>(G12*K12*(-1))+10*COUNTA(Horses3658924235672372345823245678234523428[Name])</f>
        <v>-1</v>
      </c>
      <c r="M12" s="41"/>
      <c r="N12" s="39" t="e">
        <f>_xlfn.RANK.EQ(Horses3658924235672372345823245678234523428[[#This Row],[last 3 ££]],Horses3658924235672372345823245678234523428[last 3 ££],0)</f>
        <v>#N/A</v>
      </c>
      <c r="O12" s="41"/>
      <c r="P12" s="39" t="e">
        <f>_xlfn.RANK.EQ(Horses3658924235672372345823245678234523428[[#This Row],[last 3 pos]],Horses3658924235672372345823245678234523428[last 3 pos],1)</f>
        <v>#N/A</v>
      </c>
      <c r="Q12" s="15" t="e">
        <f>(P12*N12*(-1))+10*COUNTA(Horses3658924235672372345823245678234523428[Name])</f>
        <v>#N/A</v>
      </c>
      <c r="R12" s="41"/>
      <c r="S12" s="39" t="e">
        <f>_xlfn.RANK.EQ(Horses3658924235672372345823245678234523428[[#This Row],[Tspeed]],Horses3658924235672372345823245678234523428[Tspeed],0)</f>
        <v>#N/A</v>
      </c>
      <c r="T12" s="42"/>
      <c r="U12" s="39" t="e">
        <f>_xlfn.RANK.EQ(Horses3658924235672372345823245678234523428[[#This Row],[RPR]],Horses3658924235672372345823245678234523428[RPR],0)</f>
        <v>#N/A</v>
      </c>
      <c r="V12" s="15" t="e">
        <f>(S12*U12*(-1))+10*COUNTA(Horses3658924235672372345823245678234523428[Name])</f>
        <v>#N/A</v>
      </c>
      <c r="W12" s="42"/>
      <c r="X12" s="39" t="e">
        <f>_xlfn.RANK.EQ(Horses3658924235672372345823245678234523428[[#This Row],[trip]],Horses3658924235672372345823245678234523428[trip],0)</f>
        <v>#N/A</v>
      </c>
      <c r="Y12" s="42"/>
      <c r="Z12" s="39" t="e">
        <f>_xlfn.RANK.EQ(Horses3658924235672372345823245678234523428[[#This Row],[going]],Horses3658924235672372345823245678234523428[going],0)</f>
        <v>#N/A</v>
      </c>
      <c r="AA12" s="15" t="e">
        <f>(X12*Z12*(-1))+10*COUNTA(Horses3658924235672372345823245678234523428[Name])</f>
        <v>#N/A</v>
      </c>
      <c r="AB12" s="26" t="e">
        <f>SUM(L12*$L$4)+(Q12*$Q$4)+(V12*$V$4)+(AA12*$AA$4)</f>
        <v>#N/A</v>
      </c>
      <c r="AC12" s="14" t="e">
        <f>_xlfn.RANK.EQ(Horses3658924235672372345823245678234523428[[#This Row],[Rating]],Horses3658924235672372345823245678234523428[Rating],0)</f>
        <v>#N/A</v>
      </c>
      <c r="AD12" s="28"/>
      <c r="AE12" s="28"/>
      <c r="AF12" s="28"/>
      <c r="AG12" s="28"/>
    </row>
    <row r="14" spans="1:33" x14ac:dyDescent="0.2">
      <c r="F14" s="34"/>
      <c r="G14" s="34"/>
      <c r="H14" s="34"/>
      <c r="I14" s="34"/>
      <c r="J14" s="35"/>
    </row>
  </sheetData>
  <conditionalFormatting sqref="G8:G12 K8:K12 N8:N12 P8:P12 S8:S12 U8:U12 X8:X12 Z8:Z12 AC8:AC12">
    <cfRule type="cellIs" dxfId="35" priority="1" operator="lessThanOrEqual">
      <formula>4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Button 1">
              <controlPr defaultSize="0" print="0" autoFill="0" autoPict="0" macro="[0]!SortByResult1">
                <anchor moveWithCells="1" sizeWithCells="1">
                  <from>
                    <xdr:col>11</xdr:col>
                    <xdr:colOff>0</xdr:colOff>
                    <xdr:row>3</xdr:row>
                    <xdr:rowOff>190500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SortByResult2">
                <anchor moveWithCells="1" sizeWithCells="1">
                  <from>
                    <xdr:col>16</xdr:col>
                    <xdr:colOff>0</xdr:colOff>
                    <xdr:row>3</xdr:row>
                    <xdr:rowOff>190500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5" name="Button 3">
              <controlPr defaultSize="0" print="0" autoFill="0" autoPict="0" macro="[0]!SortByResult3">
                <anchor moveWithCells="1" sizeWithCells="1">
                  <from>
                    <xdr:col>21</xdr:col>
                    <xdr:colOff>0</xdr:colOff>
                    <xdr:row>3</xdr:row>
                    <xdr:rowOff>190500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6" name="Button 4">
              <controlPr defaultSize="0" print="0" autoFill="0" autoPict="0" macro="[0]!SortByResult4">
                <anchor moveWithCells="1" sizeWithCells="1">
                  <from>
                    <xdr:col>26</xdr:col>
                    <xdr:colOff>0</xdr:colOff>
                    <xdr:row>3</xdr:row>
                    <xdr:rowOff>190500</xdr:rowOff>
                  </from>
                  <to>
                    <xdr:col>27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7" name="Button 5">
              <controlPr defaultSize="0" print="0" autoFill="0" autoPict="0" macro="[0]!SortByRating">
                <anchor moveWithCells="1" sizeWithCells="1">
                  <from>
                    <xdr:col>27</xdr:col>
                    <xdr:colOff>0</xdr:colOff>
                    <xdr:row>3</xdr:row>
                    <xdr:rowOff>190500</xdr:rowOff>
                  </from>
                  <to>
                    <xdr:col>28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8" name="Button 6">
              <controlPr defaultSize="0" print="0" autoFill="0" autoPict="0" macro="[0]!SortByResult1">
                <anchor moveWithCells="1" sizeWithCells="1">
                  <from>
                    <xdr:col>11</xdr:col>
                    <xdr:colOff>0</xdr:colOff>
                    <xdr:row>3</xdr:row>
                    <xdr:rowOff>190500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3" r:id="rId9" name="Button 7">
              <controlPr defaultSize="0" print="0" autoFill="0" autoPict="0" macro="[0]!SortByResult2">
                <anchor moveWithCells="1" sizeWithCells="1">
                  <from>
                    <xdr:col>16</xdr:col>
                    <xdr:colOff>0</xdr:colOff>
                    <xdr:row>3</xdr:row>
                    <xdr:rowOff>190500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4" r:id="rId10" name="Button 8">
              <controlPr defaultSize="0" print="0" autoFill="0" autoPict="0" macro="[0]!SortByResult3">
                <anchor moveWithCells="1" sizeWithCells="1">
                  <from>
                    <xdr:col>21</xdr:col>
                    <xdr:colOff>0</xdr:colOff>
                    <xdr:row>3</xdr:row>
                    <xdr:rowOff>190500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5" r:id="rId11" name="Button 9">
              <controlPr defaultSize="0" print="0" autoFill="0" autoPict="0" macro="[0]!SortByResult4">
                <anchor moveWithCells="1" sizeWithCells="1">
                  <from>
                    <xdr:col>26</xdr:col>
                    <xdr:colOff>0</xdr:colOff>
                    <xdr:row>3</xdr:row>
                    <xdr:rowOff>190500</xdr:rowOff>
                  </from>
                  <to>
                    <xdr:col>27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6" r:id="rId12" name="Button 10">
              <controlPr defaultSize="0" print="0" autoFill="0" autoPict="0" macro="[0]!SortByRating">
                <anchor moveWithCells="1" sizeWithCells="1">
                  <from>
                    <xdr:col>27</xdr:col>
                    <xdr:colOff>0</xdr:colOff>
                    <xdr:row>3</xdr:row>
                    <xdr:rowOff>190500</xdr:rowOff>
                  </from>
                  <to>
                    <xdr:col>28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7" r:id="rId13" name="Botón 13">
              <controlPr defaultSize="0" print="0" autoFill="0" autoPict="0" macro="[0]!Tidyup.tidyup">
                <anchor moveWithCells="1" sizeWithCells="1">
                  <from>
                    <xdr:col>11</xdr:col>
                    <xdr:colOff>0</xdr:colOff>
                    <xdr:row>1</xdr:row>
                    <xdr:rowOff>83820</xdr:rowOff>
                  </from>
                  <to>
                    <xdr:col>12</xdr:col>
                    <xdr:colOff>579120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Cheltenham 12.30</vt:lpstr>
      <vt:lpstr>lingfield (AW)125</vt:lpstr>
      <vt:lpstr>Wetherby 2.23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McKenna</dc:creator>
  <cp:lastModifiedBy>Anil</cp:lastModifiedBy>
  <dcterms:created xsi:type="dcterms:W3CDTF">2016-04-30T05:15:03Z</dcterms:created>
  <dcterms:modified xsi:type="dcterms:W3CDTF">2020-11-21T15:36:31Z</dcterms:modified>
</cp:coreProperties>
</file>